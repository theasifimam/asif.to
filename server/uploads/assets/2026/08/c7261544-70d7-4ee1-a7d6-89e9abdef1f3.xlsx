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olans\Downloads\"/>
    </mc:Choice>
  </mc:AlternateContent>
  <bookViews>
    <workbookView xWindow="0" yWindow="0" windowWidth="28800" windowHeight="13725"/>
  </bookViews>
  <sheets>
    <sheet name="Payroll 11th Dec to 10th Jan" sheetId="1" r:id="rId1"/>
    <sheet name="Salary not to be processed" sheetId="2" r:id="rId2"/>
  </sheets>
  <definedNames>
    <definedName name="_xlnm._FilterDatabase" localSheetId="0" hidden="1">'Payroll 11th Dec to 10th Jan'!$A$2:$CL$4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4" i="2" l="1"/>
  <c r="AT4" i="2"/>
  <c r="AS4" i="2"/>
  <c r="AR4" i="2"/>
  <c r="AQ4" i="2"/>
  <c r="AP4" i="2"/>
  <c r="CH4" i="2" s="1"/>
  <c r="AO4" i="2"/>
  <c r="CG4" i="2" s="1"/>
  <c r="AN4" i="2"/>
  <c r="AM4" i="2"/>
  <c r="AL4" i="2"/>
  <c r="AU4" i="2" s="1"/>
  <c r="BD3" i="2"/>
  <c r="AT3" i="2"/>
  <c r="AS3" i="2"/>
  <c r="AR3" i="2"/>
  <c r="AQ3" i="2"/>
  <c r="AP3" i="2"/>
  <c r="CH3" i="2" s="1"/>
  <c r="AO3" i="2"/>
  <c r="CG3" i="2" s="1"/>
  <c r="AN3" i="2"/>
  <c r="AM3" i="2"/>
  <c r="AL3" i="2"/>
  <c r="BK4" i="2" l="1"/>
  <c r="BJ4" i="2"/>
  <c r="BI4" i="2"/>
  <c r="BH4" i="2"/>
  <c r="BG4" i="2"/>
  <c r="BF4" i="2"/>
  <c r="BP4" i="2" s="1"/>
  <c r="BX4" i="2" s="1"/>
  <c r="AU3" i="2"/>
  <c r="BK3" i="2" s="1"/>
  <c r="BJ3" i="2"/>
  <c r="BF3" i="2"/>
  <c r="BI3" i="2"/>
  <c r="BH3" i="2"/>
  <c r="BG3" i="2"/>
  <c r="BP3" i="2" l="1"/>
  <c r="BX3" i="2" s="1"/>
  <c r="AL3" i="1" l="1"/>
  <c r="AQ4" i="1" l="1"/>
  <c r="AP4" i="1"/>
  <c r="AO4" i="1"/>
  <c r="AN4" i="1"/>
  <c r="AM4" i="1"/>
  <c r="AL4" i="1"/>
  <c r="BD3" i="1" l="1"/>
  <c r="AT4" i="1" l="1"/>
  <c r="AS4" i="1"/>
  <c r="AR4" i="1"/>
  <c r="AT3" i="1" l="1"/>
  <c r="AS3" i="1"/>
  <c r="AR3" i="1"/>
  <c r="AQ3" i="1"/>
  <c r="AP3" i="1"/>
  <c r="AO3" i="1"/>
  <c r="AN3" i="1"/>
  <c r="AM3" i="1"/>
  <c r="AU3" i="1" l="1"/>
  <c r="BG3" i="1" l="1"/>
  <c r="AU4" i="1"/>
  <c r="BF4" i="1" s="1"/>
  <c r="BJ3" i="1" l="1"/>
  <c r="BF3" i="1"/>
  <c r="BK3" i="1"/>
  <c r="BH3" i="1"/>
  <c r="BI3" i="1"/>
  <c r="BP3" i="1" l="1"/>
  <c r="BX3" i="1" s="1"/>
  <c r="BD4" i="1" l="1"/>
  <c r="BJ4" i="1" l="1"/>
  <c r="BH4" i="1" l="1"/>
  <c r="BK4" i="1"/>
  <c r="BI4" i="1"/>
  <c r="BG4" i="1"/>
  <c r="BP4" i="1" l="1"/>
  <c r="BX4" i="1" s="1"/>
  <c r="CG4" i="1"/>
  <c r="CH4" i="1"/>
  <c r="CG3" i="1"/>
  <c r="CH3" i="1"/>
</calcChain>
</file>

<file path=xl/sharedStrings.xml><?xml version="1.0" encoding="utf-8"?>
<sst xmlns="http://schemas.openxmlformats.org/spreadsheetml/2006/main" count="449" uniqueCount="113">
  <si>
    <t>Heads</t>
  </si>
  <si>
    <t>CL</t>
  </si>
  <si>
    <t>PL</t>
  </si>
  <si>
    <t>Month Days</t>
  </si>
  <si>
    <t>Extra days worked</t>
  </si>
  <si>
    <t>Basic (Actual)</t>
  </si>
  <si>
    <t>HRA (Actual)</t>
  </si>
  <si>
    <t>Medical Allowance (Actual)</t>
  </si>
  <si>
    <t>Conveyance Allowance (Actual)</t>
  </si>
  <si>
    <t>Statutory Bonus (Actual)</t>
  </si>
  <si>
    <t>Special Allow(Actual)</t>
  </si>
  <si>
    <t>Gross Salary</t>
  </si>
  <si>
    <t>Actual Transport Reimbursment</t>
  </si>
  <si>
    <t>Basic (Monthly)</t>
  </si>
  <si>
    <t>HRA (Monthly)</t>
  </si>
  <si>
    <t>Medical Allowance (Monthly)</t>
  </si>
  <si>
    <t>Conveyance Allowance (Monthly)</t>
  </si>
  <si>
    <t>Statutory Bonus (Monthly)</t>
  </si>
  <si>
    <t>Special Allowance (Monthly)</t>
  </si>
  <si>
    <t>Overtime</t>
  </si>
  <si>
    <t>Arrears</t>
  </si>
  <si>
    <t>Incentives</t>
  </si>
  <si>
    <t>Transport Reimbursement</t>
  </si>
  <si>
    <t>Total Earnings</t>
  </si>
  <si>
    <t>ESI deduction (Employee Contribution)</t>
  </si>
  <si>
    <t>PF Employee Contribution</t>
  </si>
  <si>
    <t>Advance Salary/Any deduction</t>
  </si>
  <si>
    <t>Deduction against Medical Insurrance</t>
  </si>
  <si>
    <t>TDS</t>
  </si>
  <si>
    <t>Other deductions</t>
  </si>
  <si>
    <t>Total deductions</t>
  </si>
  <si>
    <t>Final Salary</t>
  </si>
  <si>
    <t>COMPANY</t>
  </si>
  <si>
    <t>ESIC  INS. NO.</t>
  </si>
  <si>
    <t>PF Account No.</t>
  </si>
  <si>
    <t>UAN</t>
  </si>
  <si>
    <t>Bank Account No.</t>
  </si>
  <si>
    <t>IFSC Code</t>
  </si>
  <si>
    <t>Bank Name</t>
  </si>
  <si>
    <t>Remarks</t>
  </si>
  <si>
    <t>Email ID</t>
  </si>
  <si>
    <t>Employee Code</t>
  </si>
  <si>
    <t>Name</t>
  </si>
  <si>
    <t>Dept</t>
  </si>
  <si>
    <t>Designation</t>
  </si>
  <si>
    <t>DOJ</t>
  </si>
  <si>
    <t>Supervisor</t>
  </si>
  <si>
    <t>Present</t>
  </si>
  <si>
    <t>HALF DAY</t>
  </si>
  <si>
    <t>Weekly WO</t>
  </si>
  <si>
    <t xml:space="preserve"> Leave</t>
  </si>
  <si>
    <t>Leave</t>
  </si>
  <si>
    <t>Holiday</t>
  </si>
  <si>
    <t>Comp Off</t>
  </si>
  <si>
    <t>LWP</t>
  </si>
  <si>
    <t>Absent</t>
  </si>
  <si>
    <t>Sal Days</t>
  </si>
  <si>
    <t>Leverage Edu - Apps</t>
  </si>
  <si>
    <t>CCA</t>
  </si>
  <si>
    <t>Varun Chopra</t>
  </si>
  <si>
    <t>P</t>
  </si>
  <si>
    <t>WO</t>
  </si>
  <si>
    <t>Volans Infomatics</t>
  </si>
  <si>
    <t>AUBL0002485</t>
  </si>
  <si>
    <t>AU SMALL FINANCE BANK</t>
  </si>
  <si>
    <t>VIPL/IN/400703</t>
  </si>
  <si>
    <t>Team Leader</t>
  </si>
  <si>
    <t>2151248536192184</t>
  </si>
  <si>
    <t>IDFC BANK</t>
  </si>
  <si>
    <t>YES Bank</t>
  </si>
  <si>
    <t>SESA Care-Mumbai</t>
  </si>
  <si>
    <t>CSE</t>
  </si>
  <si>
    <t>VIPL/IN/401092</t>
  </si>
  <si>
    <t>Kaushal Deepak Makwana</t>
  </si>
  <si>
    <t>CCE</t>
  </si>
  <si>
    <t>074699500188941</t>
  </si>
  <si>
    <t>YESB0000746</t>
  </si>
  <si>
    <t>2151248536387240</t>
  </si>
  <si>
    <t>-</t>
  </si>
  <si>
    <t>Leave Balance Earned</t>
  </si>
  <si>
    <t>PW</t>
  </si>
  <si>
    <t>Leave Balance Dedected</t>
  </si>
  <si>
    <t>Leave Balance Deducted</t>
  </si>
  <si>
    <t>Leave Balance (CL)August</t>
  </si>
  <si>
    <t>Leave Balance (PL)Auguat</t>
  </si>
  <si>
    <t>Leave Balance (PL)August</t>
  </si>
  <si>
    <t>Sun</t>
  </si>
  <si>
    <t>Mon</t>
  </si>
  <si>
    <t>Tue</t>
  </si>
  <si>
    <t>Wed</t>
  </si>
  <si>
    <t>Thu</t>
  </si>
  <si>
    <t>Fri</t>
  </si>
  <si>
    <t>Sat</t>
  </si>
  <si>
    <t>HO</t>
  </si>
  <si>
    <t>HD/L</t>
  </si>
  <si>
    <t>VIPL/IN/401204</t>
  </si>
  <si>
    <t>Nitin tomar</t>
  </si>
  <si>
    <t>10150722372</t>
  </si>
  <si>
    <t>Leave Balance (CL)</t>
  </si>
  <si>
    <t>Contact Number</t>
  </si>
  <si>
    <t>IDFB0020141</t>
  </si>
  <si>
    <t>AB</t>
  </si>
  <si>
    <t>Abscond</t>
  </si>
  <si>
    <t>Resign</t>
  </si>
  <si>
    <t>Mohd Parvez Aalam</t>
  </si>
  <si>
    <t>Munazir</t>
  </si>
  <si>
    <t xml:space="preserve"> Salary month and year </t>
  </si>
  <si>
    <t>s</t>
  </si>
  <si>
    <t xml:space="preserve"> CL</t>
  </si>
  <si>
    <t xml:space="preserve">kaushalmakw512@gmail.com </t>
  </si>
  <si>
    <t>VIPL/IN/40101</t>
  </si>
  <si>
    <t>parvez.aalam@yopmail.com</t>
  </si>
  <si>
    <t>munazir@yopmail.com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</si>
</sst>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dd\-mmm\-yy"/>
    <numFmt numFmtId="165" formatCode="_(* #,##0_);_(* \(#,##0\);_(* &quot;-&quot;??_);_(@_)"/>
    <numFmt numFmtId="166" formatCode="_ * #,##0_ ;_ * \-#,##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 Light"/>
      <family val="1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indexed="10"/>
      <name val="Calibri Light"/>
      <family val="1"/>
      <scheme val="maj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FFFFFF"/>
      <name val="Calibri"/>
      <family val="2"/>
    </font>
    <font>
      <sz val="9"/>
      <color theme="1"/>
      <name val="Calibri Light"/>
      <family val="1"/>
      <scheme val="major"/>
    </font>
    <font>
      <sz val="9"/>
      <color rgb="FF000000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rgb="FFDDEBF7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  <xf numFmtId="0" fontId="15" fillId="0" borderId="0"/>
    <xf numFmtId="0" fontId="16" fillId="0" borderId="0" applyNumberFormat="0" applyFill="0" applyBorder="0" applyAlignment="0" applyProtection="0"/>
  </cellStyleXfs>
  <cellXfs count="74">
    <xf numFmtId="0" fontId="0" fillId="0" borderId="0" xfId="0"/>
    <xf numFmtId="0" fontId="2" fillId="2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2" fillId="5" borderId="3" xfId="0" applyFont="1" applyFill="1" applyBorder="1" applyAlignment="1" applyProtection="1">
      <alignment horizontal="center" vertical="center"/>
    </xf>
    <xf numFmtId="43" fontId="3" fillId="6" borderId="3" xfId="1" applyFont="1" applyFill="1" applyBorder="1" applyAlignment="1">
      <alignment horizontal="left" wrapText="1"/>
    </xf>
    <xf numFmtId="43" fontId="3" fillId="7" borderId="3" xfId="1" applyFont="1" applyFill="1" applyBorder="1" applyAlignment="1">
      <alignment horizontal="left" wrapText="1"/>
    </xf>
    <xf numFmtId="43" fontId="3" fillId="6" borderId="3" xfId="1" applyFont="1" applyFill="1" applyBorder="1" applyAlignment="1">
      <alignment horizontal="center" wrapText="1"/>
    </xf>
    <xf numFmtId="43" fontId="3" fillId="6" borderId="3" xfId="1" applyFont="1" applyFill="1" applyBorder="1" applyAlignment="1">
      <alignment horizontal="center"/>
    </xf>
    <xf numFmtId="43" fontId="3" fillId="6" borderId="3" xfId="1" applyFont="1" applyFill="1" applyBorder="1" applyAlignment="1">
      <alignment horizontal="left"/>
    </xf>
    <xf numFmtId="0" fontId="2" fillId="0" borderId="6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5" fillId="0" borderId="3" xfId="0" applyFont="1" applyFill="1" applyBorder="1" applyAlignment="1" applyProtection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43" fontId="4" fillId="0" borderId="3" xfId="1" applyFont="1" applyFill="1" applyBorder="1" applyAlignment="1">
      <alignment horizontal="left"/>
    </xf>
    <xf numFmtId="43" fontId="4" fillId="0" borderId="3" xfId="1" applyFont="1" applyFill="1" applyBorder="1" applyAlignment="1" applyProtection="1">
      <alignment horizontal="left" vertical="center"/>
      <protection locked="0"/>
    </xf>
    <xf numFmtId="4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/>
    <xf numFmtId="0" fontId="6" fillId="0" borderId="3" xfId="0" applyFont="1" applyFill="1" applyBorder="1"/>
    <xf numFmtId="43" fontId="6" fillId="0" borderId="3" xfId="0" applyNumberFormat="1" applyFont="1" applyFill="1" applyBorder="1"/>
    <xf numFmtId="14" fontId="4" fillId="0" borderId="3" xfId="1" applyNumberFormat="1" applyFont="1" applyFill="1" applyBorder="1" applyAlignment="1" applyProtection="1">
      <alignment horizontal="center" vertical="center"/>
      <protection locked="0"/>
    </xf>
    <xf numFmtId="0" fontId="6" fillId="0" borderId="3" xfId="0" quotePrefix="1" applyNumberFormat="1" applyFont="1" applyFill="1" applyBorder="1" applyAlignment="1">
      <alignment horizontal="center"/>
    </xf>
    <xf numFmtId="0" fontId="6" fillId="0" borderId="7" xfId="0" quotePrefix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15" fontId="4" fillId="0" borderId="3" xfId="0" applyNumberFormat="1" applyFont="1" applyFill="1" applyBorder="1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/>
    <xf numFmtId="43" fontId="6" fillId="11" borderId="3" xfId="1" applyFont="1" applyFill="1" applyBorder="1" applyAlignment="1">
      <alignment horizontal="center"/>
    </xf>
    <xf numFmtId="165" fontId="6" fillId="11" borderId="4" xfId="1" applyNumberFormat="1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left"/>
    </xf>
    <xf numFmtId="165" fontId="4" fillId="0" borderId="3" xfId="1" applyNumberFormat="1" applyFont="1" applyFill="1" applyBorder="1" applyAlignment="1">
      <alignment horizontal="left"/>
    </xf>
    <xf numFmtId="1" fontId="2" fillId="0" borderId="3" xfId="0" applyNumberFormat="1" applyFont="1" applyFill="1" applyBorder="1" applyAlignment="1" applyProtection="1">
      <alignment horizontal="center"/>
    </xf>
    <xf numFmtId="0" fontId="8" fillId="0" borderId="3" xfId="0" applyFont="1" applyBorder="1" applyAlignment="1">
      <alignment horizontal="center" vertical="center" wrapText="1"/>
    </xf>
    <xf numFmtId="164" fontId="8" fillId="13" borderId="8" xfId="0" applyNumberFormat="1" applyFont="1" applyFill="1" applyBorder="1" applyAlignment="1">
      <alignment horizontal="center" vertical="center"/>
    </xf>
    <xf numFmtId="15" fontId="12" fillId="12" borderId="0" xfId="0" applyNumberFormat="1" applyFont="1" applyFill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15" fontId="12" fillId="12" borderId="7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 applyProtection="1">
      <alignment horizontal="center" vertical="center"/>
    </xf>
    <xf numFmtId="0" fontId="13" fillId="5" borderId="4" xfId="0" applyFont="1" applyFill="1" applyBorder="1" applyAlignment="1" applyProtection="1">
      <alignment horizontal="center" vertical="center"/>
    </xf>
    <xf numFmtId="0" fontId="13" fillId="2" borderId="3" xfId="0" applyFont="1" applyFill="1" applyBorder="1" applyAlignment="1" applyProtection="1">
      <alignment horizontal="center" vertical="center"/>
    </xf>
    <xf numFmtId="0" fontId="13" fillId="9" borderId="5" xfId="0" applyFont="1" applyFill="1" applyBorder="1" applyAlignment="1" applyProtection="1">
      <alignment horizontal="center" vertical="center"/>
    </xf>
    <xf numFmtId="0" fontId="13" fillId="10" borderId="3" xfId="0" applyFont="1" applyFill="1" applyBorder="1" applyAlignment="1" applyProtection="1">
      <alignment horizontal="center" vertical="center"/>
    </xf>
    <xf numFmtId="0" fontId="13" fillId="5" borderId="2" xfId="0" applyFont="1" applyFill="1" applyBorder="1" applyAlignment="1" applyProtection="1">
      <alignment horizontal="center" vertical="center"/>
    </xf>
    <xf numFmtId="43" fontId="6" fillId="6" borderId="3" xfId="1" applyFont="1" applyFill="1" applyBorder="1" applyAlignment="1">
      <alignment horizontal="center"/>
    </xf>
    <xf numFmtId="43" fontId="6" fillId="7" borderId="3" xfId="1" applyFont="1" applyFill="1" applyBorder="1" applyAlignment="1">
      <alignment horizontal="center"/>
    </xf>
    <xf numFmtId="0" fontId="13" fillId="11" borderId="4" xfId="0" applyFont="1" applyFill="1" applyBorder="1" applyAlignment="1" applyProtection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6" fontId="6" fillId="0" borderId="3" xfId="0" applyNumberFormat="1" applyFont="1" applyFill="1" applyBorder="1"/>
    <xf numFmtId="165" fontId="6" fillId="11" borderId="3" xfId="1" applyNumberFormat="1" applyFont="1" applyFill="1" applyBorder="1" applyAlignment="1">
      <alignment horizontal="center"/>
    </xf>
    <xf numFmtId="165" fontId="4" fillId="0" borderId="3" xfId="1" applyNumberFormat="1" applyFont="1" applyFill="1" applyBorder="1" applyAlignment="1" applyProtection="1">
      <alignment horizontal="left" vertical="center"/>
      <protection locked="0"/>
    </xf>
    <xf numFmtId="0" fontId="0" fillId="0" borderId="3" xfId="0" applyBorder="1"/>
    <xf numFmtId="0" fontId="6" fillId="0" borderId="3" xfId="0" applyFont="1" applyBorder="1" applyAlignment="1">
      <alignment horizontal="center"/>
    </xf>
    <xf numFmtId="165" fontId="4" fillId="0" borderId="3" xfId="1" applyNumberFormat="1" applyFont="1" applyFill="1" applyBorder="1" applyAlignment="1">
      <alignment horizontal="center"/>
    </xf>
    <xf numFmtId="43" fontId="6" fillId="0" borderId="3" xfId="0" applyNumberFormat="1" applyFont="1" applyBorder="1" applyAlignment="1">
      <alignment horizontal="center"/>
    </xf>
    <xf numFmtId="43" fontId="4" fillId="0" borderId="3" xfId="1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0" xfId="0"/>
    <xf numFmtId="0" fontId="16" fillId="0" borderId="3" xfId="6" applyBorder="1"/>
    <xf numFmtId="17" fontId="0" fillId="0" borderId="3" xfId="0" applyNumberFormat="1" applyBorder="1"/>
    <xf numFmtId="43" fontId="6" fillId="6" borderId="3" xfId="1" applyFont="1" applyFill="1" applyBorder="1" applyAlignment="1"/>
    <xf numFmtId="43" fontId="3" fillId="6" borderId="3" xfId="1" applyFont="1" applyFill="1" applyBorder="1" applyAlignment="1"/>
    <xf numFmtId="0" fontId="2" fillId="1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7">
    <cellStyle name="Comma" xfId="1" builtinId="3"/>
    <cellStyle name="Hyperlink" xfId="6" builtinId="8"/>
    <cellStyle name="Normal" xfId="0" builtinId="0"/>
    <cellStyle name="Normal 2" xfId="2"/>
    <cellStyle name="Normal 3" xfId="3"/>
    <cellStyle name="Normal 4" xfId="4"/>
    <cellStyle name="Normal 5" xfId="5"/>
  </cellStyles>
  <dxfs count="613"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 patternType="none"/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7CAAC"/>
          <bgColor rgb="FFF7CAAC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solid">
          <fgColor rgb="FFFFE699"/>
          <bgColor rgb="FFFFE699"/>
        </patternFill>
      </fill>
    </dxf>
    <dxf>
      <font>
        <b/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none"/>
      </fill>
    </dxf>
    <dxf>
      <font>
        <b/>
        <color theme="1"/>
      </font>
      <fill>
        <patternFill patternType="solid">
          <fgColor rgb="FF81FF81"/>
          <bgColor rgb="FF81FF81"/>
        </patternFill>
      </fill>
    </dxf>
    <dxf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C00000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nazir@yopmail.com" TargetMode="External"/><Relationship Id="rId1" Type="http://schemas.openxmlformats.org/officeDocument/2006/relationships/hyperlink" Target="mailto:parvez.aalam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ushalmakw5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8"/>
  <sheetViews>
    <sheetView tabSelected="1" zoomScaleNormal="100" workbookViewId="0">
      <pane xSplit="6" ySplit="2" topLeftCell="CE3" activePane="bottomRight" state="frozen"/>
      <selection pane="topRight" activeCell="G1" sqref="G1"/>
      <selection pane="bottomLeft" activeCell="A3" sqref="A3"/>
      <selection pane="bottomRight" activeCell="CG19" sqref="CG19"/>
    </sheetView>
  </sheetViews>
  <sheetFormatPr defaultRowHeight="15" x14ac:dyDescent="0.25"/>
  <cols>
    <col min="1" max="1" width="15.42578125" bestFit="1" customWidth="1"/>
    <col min="2" max="2" width="22.140625" bestFit="1" customWidth="1"/>
    <col min="3" max="3" width="16.42578125" bestFit="1" customWidth="1"/>
    <col min="4" max="4" width="13.28515625" bestFit="1" customWidth="1"/>
    <col min="5" max="5" width="9.5703125" bestFit="1" customWidth="1"/>
    <col min="6" max="6" width="11.85546875" bestFit="1" customWidth="1"/>
    <col min="7" max="26" width="9.28515625" customWidth="1"/>
    <col min="27" max="34" width="9" customWidth="1"/>
    <col min="35" max="37" width="9" style="32" customWidth="1"/>
    <col min="38" max="38" width="8.140625" customWidth="1"/>
    <col min="39" max="39" width="10.140625" customWidth="1"/>
    <col min="40" max="40" width="11.5703125" customWidth="1"/>
    <col min="41" max="41" width="7" customWidth="1"/>
    <col min="42" max="42" width="5.7109375" customWidth="1"/>
    <col min="43" max="43" width="8" customWidth="1"/>
    <col min="44" max="44" width="9.7109375" customWidth="1"/>
    <col min="45" max="45" width="7.140625" customWidth="1"/>
    <col min="46" max="46" width="7.42578125" customWidth="1"/>
    <col min="47" max="47" width="8.7109375" customWidth="1"/>
    <col min="48" max="48" width="10.7109375" customWidth="1"/>
    <col min="49" max="49" width="13.7109375" customWidth="1"/>
    <col min="50" max="50" width="12" customWidth="1"/>
    <col min="51" max="51" width="11.28515625" customWidth="1"/>
    <col min="52" max="52" width="14" customWidth="1"/>
    <col min="53" max="53" width="9" customWidth="1"/>
    <col min="54" max="54" width="10.7109375" customWidth="1"/>
    <col min="55" max="55" width="9" customWidth="1"/>
    <col min="56" max="56" width="10" customWidth="1"/>
    <col min="57" max="57" width="26.5703125" customWidth="1"/>
    <col min="58" max="58" width="17.42578125" customWidth="1"/>
    <col min="59" max="62" width="9" customWidth="1"/>
    <col min="63" max="63" width="20.5703125" customWidth="1"/>
    <col min="64" max="64" width="7.85546875" customWidth="1"/>
    <col min="65" max="65" width="11.140625" customWidth="1"/>
    <col min="66" max="66" width="6.42578125" customWidth="1"/>
    <col min="67" max="67" width="19.140625" customWidth="1"/>
    <col min="68" max="68" width="10" customWidth="1"/>
    <col min="69" max="69" width="19" customWidth="1"/>
    <col min="70" max="70" width="16.5703125" customWidth="1"/>
    <col min="71" max="72" width="6.5703125" customWidth="1"/>
    <col min="73" max="74" width="3.7109375" customWidth="1"/>
    <col min="75" max="75" width="9.5703125" customWidth="1"/>
    <col min="76" max="76" width="10.5703125" customWidth="1"/>
    <col min="77" max="77" width="16.85546875" customWidth="1"/>
    <col min="78" max="80" width="3.7109375" customWidth="1"/>
    <col min="81" max="81" width="17.28515625" style="30" customWidth="1"/>
    <col min="82" max="82" width="11.7109375" style="30" customWidth="1"/>
    <col min="83" max="88" width="19.85546875" style="30" customWidth="1"/>
    <col min="89" max="89" width="10.140625" customWidth="1"/>
    <col min="90" max="90" width="35.42578125" bestFit="1" customWidth="1"/>
    <col min="91" max="91" width="14" customWidth="1"/>
  </cols>
  <sheetData>
    <row r="1" spans="1:91" ht="14.25" customHeight="1" x14ac:dyDescent="0.25">
      <c r="A1" s="72" t="s">
        <v>0</v>
      </c>
      <c r="B1" s="72"/>
      <c r="C1" s="72"/>
      <c r="D1" s="72"/>
      <c r="E1" s="72"/>
      <c r="F1" s="72"/>
      <c r="G1" s="40" t="s">
        <v>89</v>
      </c>
      <c r="H1" s="40" t="s">
        <v>90</v>
      </c>
      <c r="I1" s="40" t="s">
        <v>91</v>
      </c>
      <c r="J1" s="40" t="s">
        <v>92</v>
      </c>
      <c r="K1" s="40" t="s">
        <v>86</v>
      </c>
      <c r="L1" s="40" t="s">
        <v>87</v>
      </c>
      <c r="M1" s="40" t="s">
        <v>88</v>
      </c>
      <c r="N1" s="40" t="s">
        <v>89</v>
      </c>
      <c r="O1" s="40" t="s">
        <v>90</v>
      </c>
      <c r="P1" s="40" t="s">
        <v>91</v>
      </c>
      <c r="Q1" s="40" t="s">
        <v>92</v>
      </c>
      <c r="R1" s="40" t="s">
        <v>86</v>
      </c>
      <c r="S1" s="40" t="s">
        <v>87</v>
      </c>
      <c r="T1" s="40" t="s">
        <v>88</v>
      </c>
      <c r="U1" s="40" t="s">
        <v>89</v>
      </c>
      <c r="V1" s="40" t="s">
        <v>90</v>
      </c>
      <c r="W1" s="40" t="s">
        <v>91</v>
      </c>
      <c r="X1" s="40" t="s">
        <v>92</v>
      </c>
      <c r="Y1" s="40" t="s">
        <v>86</v>
      </c>
      <c r="Z1" s="40" t="s">
        <v>87</v>
      </c>
      <c r="AA1" s="40" t="s">
        <v>88</v>
      </c>
      <c r="AB1" s="40" t="s">
        <v>89</v>
      </c>
      <c r="AC1" s="40" t="s">
        <v>90</v>
      </c>
      <c r="AD1" s="40" t="s">
        <v>91</v>
      </c>
      <c r="AE1" s="40" t="s">
        <v>92</v>
      </c>
      <c r="AF1" s="40" t="s">
        <v>86</v>
      </c>
      <c r="AG1" s="40" t="s">
        <v>87</v>
      </c>
      <c r="AH1" s="40" t="s">
        <v>88</v>
      </c>
      <c r="AI1" s="40" t="s">
        <v>89</v>
      </c>
      <c r="AJ1" s="40" t="s">
        <v>90</v>
      </c>
      <c r="AK1" s="40" t="s">
        <v>91</v>
      </c>
      <c r="AL1" s="1"/>
      <c r="AM1" s="1"/>
      <c r="AN1" s="1"/>
      <c r="AO1" s="2" t="s">
        <v>1</v>
      </c>
      <c r="AP1" s="3" t="s">
        <v>2</v>
      </c>
      <c r="AQ1" s="45" t="s">
        <v>52</v>
      </c>
      <c r="AR1" s="46" t="s">
        <v>53</v>
      </c>
      <c r="AS1" s="47" t="s">
        <v>54</v>
      </c>
      <c r="AT1" s="43" t="s">
        <v>55</v>
      </c>
      <c r="AU1" s="48" t="s">
        <v>56</v>
      </c>
      <c r="AV1" s="4" t="s">
        <v>3</v>
      </c>
      <c r="AW1" s="4" t="s">
        <v>4</v>
      </c>
      <c r="AX1" s="5" t="s">
        <v>5</v>
      </c>
      <c r="AY1" s="5" t="s">
        <v>6</v>
      </c>
      <c r="AZ1" s="5" t="s">
        <v>7</v>
      </c>
      <c r="BA1" s="5" t="s">
        <v>8</v>
      </c>
      <c r="BB1" s="5" t="s">
        <v>9</v>
      </c>
      <c r="BC1" s="5" t="s">
        <v>10</v>
      </c>
      <c r="BD1" s="5" t="s">
        <v>11</v>
      </c>
      <c r="BE1" s="5" t="s">
        <v>12</v>
      </c>
      <c r="BF1" s="5" t="s">
        <v>13</v>
      </c>
      <c r="BG1" s="5" t="s">
        <v>14</v>
      </c>
      <c r="BH1" s="5" t="s">
        <v>15</v>
      </c>
      <c r="BI1" s="5" t="s">
        <v>16</v>
      </c>
      <c r="BJ1" s="5" t="s">
        <v>17</v>
      </c>
      <c r="BK1" s="5" t="s">
        <v>18</v>
      </c>
      <c r="BL1" s="5" t="s">
        <v>19</v>
      </c>
      <c r="BM1" s="5" t="s">
        <v>20</v>
      </c>
      <c r="BN1" s="5" t="s">
        <v>21</v>
      </c>
      <c r="BO1" s="5" t="s">
        <v>22</v>
      </c>
      <c r="BP1" s="5" t="s">
        <v>23</v>
      </c>
      <c r="BQ1" s="5" t="s">
        <v>24</v>
      </c>
      <c r="BR1" s="5" t="s">
        <v>25</v>
      </c>
      <c r="BS1" s="5" t="s">
        <v>26</v>
      </c>
      <c r="BT1" s="5" t="s">
        <v>27</v>
      </c>
      <c r="BU1" s="5" t="s">
        <v>28</v>
      </c>
      <c r="BV1" s="5" t="s">
        <v>29</v>
      </c>
      <c r="BW1" s="5" t="s">
        <v>30</v>
      </c>
      <c r="BX1" s="6" t="s">
        <v>31</v>
      </c>
      <c r="BY1" s="5" t="s">
        <v>32</v>
      </c>
      <c r="BZ1" s="5" t="s">
        <v>33</v>
      </c>
      <c r="CA1" s="5" t="s">
        <v>34</v>
      </c>
      <c r="CB1" s="5" t="s">
        <v>35</v>
      </c>
      <c r="CC1" s="7" t="s">
        <v>36</v>
      </c>
      <c r="CD1" s="7" t="s">
        <v>37</v>
      </c>
      <c r="CE1" s="7" t="s">
        <v>38</v>
      </c>
      <c r="CF1" s="7" t="s">
        <v>99</v>
      </c>
      <c r="CG1" s="8" t="s">
        <v>83</v>
      </c>
      <c r="CH1" s="8" t="s">
        <v>85</v>
      </c>
      <c r="CI1" s="8" t="s">
        <v>98</v>
      </c>
      <c r="CJ1" s="8" t="s">
        <v>84</v>
      </c>
      <c r="CK1" s="9" t="s">
        <v>39</v>
      </c>
      <c r="CL1" s="9" t="s">
        <v>40</v>
      </c>
      <c r="CM1" s="71" t="s">
        <v>106</v>
      </c>
    </row>
    <row r="2" spans="1:91" x14ac:dyDescent="0.25">
      <c r="A2" s="41" t="s">
        <v>41</v>
      </c>
      <c r="B2" s="41" t="s">
        <v>42</v>
      </c>
      <c r="C2" s="41" t="s">
        <v>43</v>
      </c>
      <c r="D2" s="41" t="s">
        <v>44</v>
      </c>
      <c r="E2" s="41" t="s">
        <v>45</v>
      </c>
      <c r="F2" s="41" t="s">
        <v>46</v>
      </c>
      <c r="G2" s="42">
        <v>45637</v>
      </c>
      <c r="H2" s="42">
        <v>45638</v>
      </c>
      <c r="I2" s="42">
        <v>45639</v>
      </c>
      <c r="J2" s="42">
        <v>45640</v>
      </c>
      <c r="K2" s="42">
        <v>45641</v>
      </c>
      <c r="L2" s="42">
        <v>45642</v>
      </c>
      <c r="M2" s="42">
        <v>45643</v>
      </c>
      <c r="N2" s="42">
        <v>45644</v>
      </c>
      <c r="O2" s="42">
        <v>45645</v>
      </c>
      <c r="P2" s="42">
        <v>45646</v>
      </c>
      <c r="Q2" s="42">
        <v>45647</v>
      </c>
      <c r="R2" s="42">
        <v>45648</v>
      </c>
      <c r="S2" s="42">
        <v>45649</v>
      </c>
      <c r="T2" s="42">
        <v>45650</v>
      </c>
      <c r="U2" s="42">
        <v>45651</v>
      </c>
      <c r="V2" s="42">
        <v>45652</v>
      </c>
      <c r="W2" s="42">
        <v>45653</v>
      </c>
      <c r="X2" s="42">
        <v>45654</v>
      </c>
      <c r="Y2" s="42">
        <v>45655</v>
      </c>
      <c r="Z2" s="42">
        <v>45656</v>
      </c>
      <c r="AA2" s="42">
        <v>45657</v>
      </c>
      <c r="AB2" s="42">
        <v>45658</v>
      </c>
      <c r="AC2" s="42">
        <v>45659</v>
      </c>
      <c r="AD2" s="42">
        <v>45660</v>
      </c>
      <c r="AE2" s="42">
        <v>45661</v>
      </c>
      <c r="AF2" s="42">
        <v>45662</v>
      </c>
      <c r="AG2" s="42">
        <v>45663</v>
      </c>
      <c r="AH2" s="42">
        <v>45664</v>
      </c>
      <c r="AI2" s="42">
        <v>45665</v>
      </c>
      <c r="AJ2" s="42">
        <v>45666</v>
      </c>
      <c r="AK2" s="42">
        <v>45667</v>
      </c>
      <c r="AL2" s="43" t="s">
        <v>47</v>
      </c>
      <c r="AM2" s="43" t="s">
        <v>48</v>
      </c>
      <c r="AN2" s="43" t="s">
        <v>49</v>
      </c>
      <c r="AO2" s="43" t="s">
        <v>108</v>
      </c>
      <c r="AP2" s="44" t="s">
        <v>2</v>
      </c>
      <c r="AQ2" s="45" t="s">
        <v>52</v>
      </c>
      <c r="AR2" s="46" t="s">
        <v>53</v>
      </c>
      <c r="AS2" s="47" t="s">
        <v>54</v>
      </c>
      <c r="AT2" s="43" t="s">
        <v>55</v>
      </c>
      <c r="AU2" s="48" t="s">
        <v>56</v>
      </c>
      <c r="AV2" s="43" t="s">
        <v>3</v>
      </c>
      <c r="AW2" s="43" t="s">
        <v>4</v>
      </c>
      <c r="AX2" s="49" t="s">
        <v>5</v>
      </c>
      <c r="AY2" s="49" t="s">
        <v>6</v>
      </c>
      <c r="AZ2" s="49" t="s">
        <v>7</v>
      </c>
      <c r="BA2" s="49" t="s">
        <v>8</v>
      </c>
      <c r="BB2" s="49" t="s">
        <v>9</v>
      </c>
      <c r="BC2" s="49" t="s">
        <v>10</v>
      </c>
      <c r="BD2" s="49" t="s">
        <v>11</v>
      </c>
      <c r="BE2" s="49" t="s">
        <v>12</v>
      </c>
      <c r="BF2" s="49" t="s">
        <v>13</v>
      </c>
      <c r="BG2" s="49" t="s">
        <v>14</v>
      </c>
      <c r="BH2" s="49" t="s">
        <v>15</v>
      </c>
      <c r="BI2" s="49" t="s">
        <v>16</v>
      </c>
      <c r="BJ2" s="49" t="s">
        <v>17</v>
      </c>
      <c r="BK2" s="49" t="s">
        <v>18</v>
      </c>
      <c r="BL2" s="49" t="s">
        <v>19</v>
      </c>
      <c r="BM2" s="49" t="s">
        <v>20</v>
      </c>
      <c r="BN2" s="49" t="s">
        <v>21</v>
      </c>
      <c r="BO2" s="49" t="s">
        <v>22</v>
      </c>
      <c r="BP2" s="49" t="s">
        <v>23</v>
      </c>
      <c r="BQ2" s="49" t="s">
        <v>24</v>
      </c>
      <c r="BR2" s="49" t="s">
        <v>25</v>
      </c>
      <c r="BS2" s="49" t="s">
        <v>26</v>
      </c>
      <c r="BT2" s="49" t="s">
        <v>27</v>
      </c>
      <c r="BU2" s="49" t="s">
        <v>28</v>
      </c>
      <c r="BV2" s="49" t="s">
        <v>29</v>
      </c>
      <c r="BW2" s="49" t="s">
        <v>30</v>
      </c>
      <c r="BX2" s="50" t="s">
        <v>31</v>
      </c>
      <c r="BY2" s="49" t="s">
        <v>32</v>
      </c>
      <c r="BZ2" s="49" t="s">
        <v>33</v>
      </c>
      <c r="CA2" s="49" t="s">
        <v>34</v>
      </c>
      <c r="CB2" s="49" t="s">
        <v>35</v>
      </c>
      <c r="CC2" s="49" t="s">
        <v>36</v>
      </c>
      <c r="CD2" s="49" t="s">
        <v>37</v>
      </c>
      <c r="CE2" s="49" t="s">
        <v>38</v>
      </c>
      <c r="CF2" s="49" t="s">
        <v>99</v>
      </c>
      <c r="CG2" s="49" t="s">
        <v>81</v>
      </c>
      <c r="CH2" s="49" t="s">
        <v>82</v>
      </c>
      <c r="CI2" s="49" t="s">
        <v>79</v>
      </c>
      <c r="CJ2" s="49" t="s">
        <v>79</v>
      </c>
      <c r="CK2" s="49" t="s">
        <v>39</v>
      </c>
      <c r="CL2" s="49" t="s">
        <v>40</v>
      </c>
      <c r="CM2" s="70" t="s">
        <v>106</v>
      </c>
    </row>
    <row r="3" spans="1:91" x14ac:dyDescent="0.25">
      <c r="A3" s="26" t="s">
        <v>110</v>
      </c>
      <c r="B3" s="27" t="s">
        <v>104</v>
      </c>
      <c r="C3" s="27" t="s">
        <v>57</v>
      </c>
      <c r="D3" s="27" t="s">
        <v>58</v>
      </c>
      <c r="E3" s="28">
        <v>44508</v>
      </c>
      <c r="F3" s="27" t="s">
        <v>59</v>
      </c>
      <c r="G3" s="66" t="s">
        <v>60</v>
      </c>
      <c r="H3" s="66" t="s">
        <v>60</v>
      </c>
      <c r="I3" s="66" t="s">
        <v>60</v>
      </c>
      <c r="J3" s="66" t="s">
        <v>2</v>
      </c>
      <c r="K3" s="66" t="s">
        <v>61</v>
      </c>
      <c r="L3" s="66" t="s">
        <v>60</v>
      </c>
      <c r="M3" s="66" t="s">
        <v>60</v>
      </c>
      <c r="N3" s="66" t="s">
        <v>60</v>
      </c>
      <c r="O3" s="66" t="s">
        <v>60</v>
      </c>
      <c r="P3" s="66" t="s">
        <v>60</v>
      </c>
      <c r="Q3" s="66" t="s">
        <v>60</v>
      </c>
      <c r="R3" s="66" t="s">
        <v>61</v>
      </c>
      <c r="S3" s="66" t="s">
        <v>1</v>
      </c>
      <c r="T3" s="66" t="s">
        <v>60</v>
      </c>
      <c r="U3" s="66" t="s">
        <v>93</v>
      </c>
      <c r="V3" s="66" t="s">
        <v>60</v>
      </c>
      <c r="W3" s="66" t="s">
        <v>60</v>
      </c>
      <c r="X3" s="66" t="s">
        <v>60</v>
      </c>
      <c r="Y3" s="66" t="s">
        <v>61</v>
      </c>
      <c r="Z3" s="66" t="s">
        <v>60</v>
      </c>
      <c r="AA3" s="66" t="s">
        <v>60</v>
      </c>
      <c r="AB3" s="66" t="s">
        <v>93</v>
      </c>
      <c r="AC3" s="66" t="s">
        <v>60</v>
      </c>
      <c r="AD3" s="66" t="s">
        <v>60</v>
      </c>
      <c r="AE3" s="66" t="s">
        <v>60</v>
      </c>
      <c r="AF3" s="66" t="s">
        <v>61</v>
      </c>
      <c r="AG3" s="66" t="s">
        <v>60</v>
      </c>
      <c r="AH3" s="66" t="s">
        <v>60</v>
      </c>
      <c r="AI3" s="66" t="s">
        <v>60</v>
      </c>
      <c r="AJ3" s="66" t="s">
        <v>60</v>
      </c>
      <c r="AK3" s="66" t="s">
        <v>60</v>
      </c>
      <c r="AL3" s="10">
        <f t="shared" ref="AL3:AL4" si="0">COUNTIF(G3:AK3,"P")</f>
        <v>23</v>
      </c>
      <c r="AM3" s="10">
        <f t="shared" ref="AM3:AM4" si="1">COUNTIF(G3:AK3,"HD")/2+COUNTIF(G3:AK3,"HD/L")/2</f>
        <v>0</v>
      </c>
      <c r="AN3" s="10">
        <f t="shared" ref="AN3:AN4" si="2">COUNTIF(G3:AK3,"WO")</f>
        <v>4</v>
      </c>
      <c r="AO3" s="10">
        <f t="shared" ref="AO3:AO4" si="3">COUNTIF(G3:AK3,"CL")</f>
        <v>1</v>
      </c>
      <c r="AP3" s="11">
        <f t="shared" ref="AP3:AP4" si="4">COUNTIF(G3:AK3,"PL")+(COUNTIF(G3:AK3,"HD/L")/2)</f>
        <v>1</v>
      </c>
      <c r="AQ3" s="11">
        <f t="shared" ref="AQ3:AQ4" si="5">COUNTIF(G3:AK3,"HO")</f>
        <v>2</v>
      </c>
      <c r="AR3" s="11">
        <f t="shared" ref="AR3:AR4" si="6">COUNTIF(G3:AK3,"CO")</f>
        <v>0</v>
      </c>
      <c r="AS3" s="37">
        <f t="shared" ref="AS3:AS4" si="7">COUNTIF(G3:AK3,"LWP")+COUNTIF(G3:AK3,"HD")/2</f>
        <v>0</v>
      </c>
      <c r="AT3" s="12">
        <f t="shared" ref="AT3:AT4" si="8">COUNTIF(G3:AK3,"AB")</f>
        <v>0</v>
      </c>
      <c r="AU3" s="13">
        <f t="shared" ref="AU3:AU4" si="9">(AL3+AN3+AO3+AP3+AQ3+AR3+AM3)-(AT3*0.5)</f>
        <v>31</v>
      </c>
      <c r="AV3" s="14">
        <v>31</v>
      </c>
      <c r="AW3" s="51"/>
      <c r="AX3" s="34">
        <v>20000</v>
      </c>
      <c r="AY3" s="55">
        <v>100</v>
      </c>
      <c r="AZ3" s="55">
        <v>1250</v>
      </c>
      <c r="BA3" s="55">
        <v>150</v>
      </c>
      <c r="BB3" s="55">
        <v>1000</v>
      </c>
      <c r="BC3" s="55">
        <v>2883</v>
      </c>
      <c r="BD3" s="56">
        <f t="shared" ref="BD3:BD4" si="10">SUM(AX3:BC3)</f>
        <v>25383</v>
      </c>
      <c r="BE3" s="33"/>
      <c r="BF3" s="35">
        <f t="shared" ref="BF3:BF4" si="11">(AX3/AV3)*AU3</f>
        <v>20000</v>
      </c>
      <c r="BG3" s="36">
        <f t="shared" ref="BG3:BG4" si="12">(AY3/AV3)*AU3</f>
        <v>100</v>
      </c>
      <c r="BH3" s="36">
        <f t="shared" ref="BH3:BH4" si="13">(AZ3/AV3)*AU3</f>
        <v>1250</v>
      </c>
      <c r="BI3" s="36">
        <f t="shared" ref="BI3:BI4" si="14">(BA3/AV3)*AU3</f>
        <v>150</v>
      </c>
      <c r="BJ3" s="36">
        <f t="shared" ref="BJ3:BJ4" si="15">(BB3/AV3)*AU3</f>
        <v>1000</v>
      </c>
      <c r="BK3" s="36">
        <f t="shared" ref="BK3:BK4" si="16">(BC3/AV3)*AU3</f>
        <v>2883</v>
      </c>
      <c r="BL3" s="17">
        <v>0</v>
      </c>
      <c r="BM3" s="18"/>
      <c r="BN3" s="18"/>
      <c r="BO3" s="15">
        <v>0</v>
      </c>
      <c r="BP3" s="36">
        <f t="shared" ref="BP3:BP4" si="17">SUM(BF3:BO3)</f>
        <v>25383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20">
        <v>0</v>
      </c>
      <c r="BX3" s="54">
        <f t="shared" ref="BX3:BX4" si="18">BP3-(SUM(BQ3:BV3))</f>
        <v>25383</v>
      </c>
      <c r="BY3" s="21" t="s">
        <v>62</v>
      </c>
      <c r="BZ3" s="33"/>
      <c r="CA3" s="33"/>
      <c r="CB3" s="33"/>
      <c r="CC3" s="23" t="s">
        <v>77</v>
      </c>
      <c r="CD3" s="24" t="s">
        <v>63</v>
      </c>
      <c r="CE3" s="31" t="s">
        <v>64</v>
      </c>
      <c r="CF3" s="65">
        <v>7037395813</v>
      </c>
      <c r="CG3" s="60">
        <f t="shared" ref="CG3:CG4" si="19">CI3-AO3</f>
        <v>0.5</v>
      </c>
      <c r="CH3" s="60">
        <f t="shared" ref="CH3:CH4" si="20">CJ3-AP3</f>
        <v>6</v>
      </c>
      <c r="CI3" s="61">
        <v>1.5</v>
      </c>
      <c r="CJ3" s="61">
        <v>7</v>
      </c>
      <c r="CK3" s="33"/>
      <c r="CL3" s="68" t="s">
        <v>111</v>
      </c>
      <c r="CM3" s="69">
        <v>45689</v>
      </c>
    </row>
    <row r="4" spans="1:91" x14ac:dyDescent="0.25">
      <c r="A4" s="26" t="s">
        <v>65</v>
      </c>
      <c r="B4" s="27" t="s">
        <v>105</v>
      </c>
      <c r="C4" s="27" t="s">
        <v>57</v>
      </c>
      <c r="D4" s="27" t="s">
        <v>66</v>
      </c>
      <c r="E4" s="28">
        <v>44508</v>
      </c>
      <c r="F4" s="27" t="s">
        <v>59</v>
      </c>
      <c r="G4" s="66" t="s">
        <v>60</v>
      </c>
      <c r="H4" s="66" t="s">
        <v>60</v>
      </c>
      <c r="I4" s="66" t="s">
        <v>60</v>
      </c>
      <c r="J4" s="66" t="s">
        <v>60</v>
      </c>
      <c r="K4" s="66" t="s">
        <v>61</v>
      </c>
      <c r="L4" s="66" t="s">
        <v>60</v>
      </c>
      <c r="M4" s="66" t="s">
        <v>60</v>
      </c>
      <c r="N4" s="66" t="s">
        <v>60</v>
      </c>
      <c r="O4" s="66" t="s">
        <v>60</v>
      </c>
      <c r="P4" s="66" t="s">
        <v>60</v>
      </c>
      <c r="Q4" s="66" t="s">
        <v>94</v>
      </c>
      <c r="R4" s="66" t="s">
        <v>61</v>
      </c>
      <c r="S4" s="66" t="s">
        <v>60</v>
      </c>
      <c r="T4" s="66" t="s">
        <v>60</v>
      </c>
      <c r="U4" s="66" t="s">
        <v>93</v>
      </c>
      <c r="V4" s="66" t="s">
        <v>1</v>
      </c>
      <c r="W4" s="66" t="s">
        <v>1</v>
      </c>
      <c r="X4" s="66" t="s">
        <v>1</v>
      </c>
      <c r="Y4" s="66" t="s">
        <v>61</v>
      </c>
      <c r="Z4" s="66" t="s">
        <v>60</v>
      </c>
      <c r="AA4" s="66" t="s">
        <v>60</v>
      </c>
      <c r="AB4" s="66" t="s">
        <v>93</v>
      </c>
      <c r="AC4" s="66" t="s">
        <v>60</v>
      </c>
      <c r="AD4" s="66" t="s">
        <v>60</v>
      </c>
      <c r="AE4" s="66" t="s">
        <v>60</v>
      </c>
      <c r="AF4" s="66" t="s">
        <v>61</v>
      </c>
      <c r="AG4" s="66" t="s">
        <v>60</v>
      </c>
      <c r="AH4" s="66" t="s">
        <v>60</v>
      </c>
      <c r="AI4" s="66" t="s">
        <v>60</v>
      </c>
      <c r="AJ4" s="66" t="s">
        <v>60</v>
      </c>
      <c r="AK4" s="66" t="s">
        <v>60</v>
      </c>
      <c r="AL4" s="10">
        <f t="shared" si="0"/>
        <v>21</v>
      </c>
      <c r="AM4" s="10">
        <f t="shared" si="1"/>
        <v>0.5</v>
      </c>
      <c r="AN4" s="10">
        <f t="shared" si="2"/>
        <v>4</v>
      </c>
      <c r="AO4" s="10">
        <f t="shared" si="3"/>
        <v>3</v>
      </c>
      <c r="AP4" s="11">
        <f t="shared" si="4"/>
        <v>0.5</v>
      </c>
      <c r="AQ4" s="11">
        <f t="shared" si="5"/>
        <v>2</v>
      </c>
      <c r="AR4" s="11">
        <f t="shared" si="6"/>
        <v>0</v>
      </c>
      <c r="AS4" s="37">
        <f t="shared" si="7"/>
        <v>0</v>
      </c>
      <c r="AT4" s="12">
        <f t="shared" si="8"/>
        <v>0</v>
      </c>
      <c r="AU4" s="13">
        <f t="shared" si="9"/>
        <v>31</v>
      </c>
      <c r="AV4" s="14">
        <v>31</v>
      </c>
      <c r="AW4" s="14"/>
      <c r="AX4" s="35">
        <v>16000</v>
      </c>
      <c r="AY4" s="36">
        <v>200</v>
      </c>
      <c r="AZ4" s="36">
        <v>2200</v>
      </c>
      <c r="BA4" s="36">
        <v>1600</v>
      </c>
      <c r="BB4" s="36">
        <v>1000</v>
      </c>
      <c r="BC4" s="36">
        <v>9900</v>
      </c>
      <c r="BD4" s="56">
        <f t="shared" si="10"/>
        <v>30900</v>
      </c>
      <c r="BE4" s="16"/>
      <c r="BF4" s="35">
        <f t="shared" si="11"/>
        <v>16000</v>
      </c>
      <c r="BG4" s="36">
        <f t="shared" si="12"/>
        <v>200</v>
      </c>
      <c r="BH4" s="36">
        <f t="shared" si="13"/>
        <v>2200</v>
      </c>
      <c r="BI4" s="36">
        <f t="shared" si="14"/>
        <v>1600</v>
      </c>
      <c r="BJ4" s="36">
        <f t="shared" si="15"/>
        <v>1000</v>
      </c>
      <c r="BK4" s="36">
        <f t="shared" si="16"/>
        <v>9900</v>
      </c>
      <c r="BL4" s="17">
        <v>0</v>
      </c>
      <c r="BM4" s="18"/>
      <c r="BN4" s="18"/>
      <c r="BO4" s="15">
        <v>0</v>
      </c>
      <c r="BP4" s="36">
        <f t="shared" si="17"/>
        <v>30900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20">
        <v>0</v>
      </c>
      <c r="BX4" s="54">
        <f t="shared" si="18"/>
        <v>30900</v>
      </c>
      <c r="BY4" s="21" t="s">
        <v>62</v>
      </c>
      <c r="BZ4" s="13"/>
      <c r="CA4" s="22"/>
      <c r="CB4" s="22"/>
      <c r="CC4" s="23" t="s">
        <v>67</v>
      </c>
      <c r="CD4" s="24" t="s">
        <v>63</v>
      </c>
      <c r="CE4" s="31" t="s">
        <v>64</v>
      </c>
      <c r="CF4" s="65">
        <v>9650881577</v>
      </c>
      <c r="CG4" s="60">
        <f t="shared" si="19"/>
        <v>0.5</v>
      </c>
      <c r="CH4" s="60">
        <f t="shared" si="20"/>
        <v>7.5</v>
      </c>
      <c r="CI4" s="61">
        <v>3.5</v>
      </c>
      <c r="CJ4" s="61">
        <v>8</v>
      </c>
      <c r="CK4" s="25"/>
      <c r="CL4" s="68" t="s">
        <v>112</v>
      </c>
      <c r="CM4" s="69">
        <v>45778</v>
      </c>
    </row>
    <row r="5" spans="1:91" x14ac:dyDescent="0.25">
      <c r="AI5"/>
      <c r="AJ5"/>
      <c r="AK5"/>
      <c r="CC5"/>
      <c r="CD5"/>
      <c r="CE5"/>
      <c r="CF5"/>
      <c r="CG5"/>
      <c r="CH5"/>
      <c r="CI5"/>
      <c r="CJ5"/>
    </row>
    <row r="6" spans="1:91" s="29" customFormat="1" x14ac:dyDescent="0.25"/>
    <row r="7" spans="1:91" x14ac:dyDescent="0.25">
      <c r="AI7"/>
      <c r="AJ7"/>
      <c r="AK7"/>
      <c r="CC7"/>
      <c r="CD7"/>
      <c r="CE7"/>
      <c r="CF7"/>
      <c r="CG7"/>
      <c r="CH7"/>
      <c r="CI7"/>
      <c r="CJ7"/>
    </row>
    <row r="8" spans="1:91" x14ac:dyDescent="0.25">
      <c r="AI8"/>
      <c r="AJ8"/>
      <c r="AK8"/>
      <c r="CC8"/>
      <c r="CD8"/>
      <c r="CE8"/>
      <c r="CF8"/>
      <c r="CG8"/>
      <c r="CH8"/>
      <c r="CI8"/>
      <c r="CJ8"/>
    </row>
    <row r="9" spans="1:91" x14ac:dyDescent="0.25">
      <c r="AI9"/>
      <c r="AJ9"/>
      <c r="AK9"/>
      <c r="CC9"/>
      <c r="CD9"/>
      <c r="CE9"/>
      <c r="CF9"/>
      <c r="CG9"/>
      <c r="CH9"/>
      <c r="CI9"/>
      <c r="CJ9"/>
    </row>
    <row r="10" spans="1:91" x14ac:dyDescent="0.25">
      <c r="AI10"/>
      <c r="AJ10"/>
      <c r="AK10"/>
      <c r="CC10"/>
      <c r="CD10"/>
      <c r="CE10"/>
      <c r="CF10"/>
      <c r="CG10"/>
      <c r="CH10"/>
      <c r="CI10"/>
      <c r="CJ10"/>
    </row>
    <row r="11" spans="1:91" x14ac:dyDescent="0.25">
      <c r="AI11"/>
      <c r="AJ11"/>
      <c r="AK11"/>
      <c r="CC11"/>
      <c r="CD11"/>
      <c r="CE11"/>
      <c r="CF11"/>
      <c r="CG11"/>
      <c r="CH11"/>
      <c r="CI11"/>
      <c r="CJ11"/>
    </row>
    <row r="12" spans="1:91" x14ac:dyDescent="0.25">
      <c r="AI12"/>
      <c r="AJ12"/>
      <c r="AK12"/>
      <c r="CC12"/>
      <c r="CD12"/>
      <c r="CE12"/>
      <c r="CF12"/>
      <c r="CG12"/>
      <c r="CH12"/>
      <c r="CI12"/>
      <c r="CJ12"/>
    </row>
    <row r="13" spans="1:91" x14ac:dyDescent="0.25">
      <c r="AI13"/>
      <c r="AJ13"/>
      <c r="AK13"/>
      <c r="CC13"/>
      <c r="CD13"/>
      <c r="CE13"/>
      <c r="CF13"/>
      <c r="CG13"/>
      <c r="CH13"/>
      <c r="CI13"/>
      <c r="CJ13"/>
    </row>
    <row r="14" spans="1:91" x14ac:dyDescent="0.25">
      <c r="AI14"/>
      <c r="AJ14"/>
      <c r="AK14"/>
      <c r="CC14"/>
      <c r="CD14"/>
      <c r="CE14"/>
      <c r="CF14"/>
      <c r="CG14"/>
      <c r="CH14"/>
      <c r="CI14"/>
      <c r="CJ14"/>
    </row>
    <row r="15" spans="1:91" x14ac:dyDescent="0.25">
      <c r="AI15"/>
      <c r="AJ15"/>
      <c r="AK15"/>
      <c r="CC15"/>
      <c r="CD15"/>
      <c r="CE15"/>
      <c r="CF15"/>
      <c r="CG15" t="s">
        <v>107</v>
      </c>
      <c r="CH15"/>
      <c r="CI15"/>
      <c r="CJ15"/>
    </row>
    <row r="16" spans="1:91" x14ac:dyDescent="0.25">
      <c r="AI16"/>
      <c r="AJ16"/>
      <c r="AK16"/>
      <c r="CC16"/>
      <c r="CD16"/>
      <c r="CE16"/>
      <c r="CF16"/>
      <c r="CG16"/>
      <c r="CH16"/>
      <c r="CI16"/>
      <c r="CJ16"/>
    </row>
    <row r="17" spans="35:88" x14ac:dyDescent="0.25">
      <c r="AI17"/>
      <c r="AJ17"/>
      <c r="AK17"/>
      <c r="CC17"/>
      <c r="CD17"/>
      <c r="CE17"/>
      <c r="CF17"/>
      <c r="CG17"/>
      <c r="CH17"/>
      <c r="CI17"/>
      <c r="CJ17"/>
    </row>
    <row r="18" spans="35:88" x14ac:dyDescent="0.25">
      <c r="AI18"/>
      <c r="AJ18"/>
      <c r="AK18"/>
      <c r="CC18"/>
      <c r="CD18"/>
      <c r="CE18"/>
      <c r="CF18"/>
      <c r="CG18"/>
      <c r="CH18"/>
      <c r="CI18"/>
      <c r="CJ18"/>
    </row>
    <row r="19" spans="35:88" x14ac:dyDescent="0.25">
      <c r="AI19"/>
      <c r="AJ19"/>
      <c r="AK19"/>
      <c r="CC19"/>
      <c r="CD19"/>
      <c r="CE19"/>
      <c r="CF19"/>
      <c r="CG19"/>
      <c r="CH19"/>
      <c r="CI19"/>
      <c r="CJ19"/>
    </row>
    <row r="20" spans="35:88" x14ac:dyDescent="0.25">
      <c r="AI20"/>
      <c r="AJ20"/>
      <c r="AK20"/>
      <c r="CC20"/>
      <c r="CD20"/>
      <c r="CE20"/>
      <c r="CF20"/>
      <c r="CG20"/>
      <c r="CH20"/>
      <c r="CI20"/>
      <c r="CJ20"/>
    </row>
    <row r="21" spans="35:88" x14ac:dyDescent="0.25">
      <c r="AI21"/>
      <c r="AJ21"/>
      <c r="AK21"/>
      <c r="CC21"/>
      <c r="CD21"/>
      <c r="CE21"/>
      <c r="CF21"/>
      <c r="CG21"/>
      <c r="CH21"/>
      <c r="CI21"/>
      <c r="CJ21"/>
    </row>
    <row r="22" spans="35:88" x14ac:dyDescent="0.25">
      <c r="AI22"/>
      <c r="AJ22"/>
      <c r="AK22"/>
      <c r="CC22"/>
      <c r="CD22"/>
      <c r="CE22"/>
      <c r="CF22"/>
      <c r="CG22"/>
      <c r="CH22"/>
      <c r="CI22"/>
      <c r="CJ22"/>
    </row>
    <row r="23" spans="35:88" x14ac:dyDescent="0.25">
      <c r="AI23"/>
      <c r="AJ23"/>
      <c r="AK23"/>
      <c r="CC23"/>
      <c r="CD23"/>
      <c r="CE23"/>
      <c r="CF23"/>
      <c r="CG23"/>
      <c r="CH23"/>
      <c r="CI23"/>
      <c r="CJ23"/>
    </row>
    <row r="24" spans="35:88" x14ac:dyDescent="0.25">
      <c r="AI24"/>
      <c r="AJ24"/>
      <c r="AK24"/>
      <c r="CC24"/>
      <c r="CD24"/>
      <c r="CE24"/>
      <c r="CF24"/>
      <c r="CG24"/>
      <c r="CH24"/>
      <c r="CI24"/>
      <c r="CJ24"/>
    </row>
    <row r="25" spans="35:88" x14ac:dyDescent="0.25">
      <c r="AI25"/>
      <c r="AJ25"/>
      <c r="AK25"/>
      <c r="CC25"/>
      <c r="CD25"/>
      <c r="CE25"/>
      <c r="CF25"/>
      <c r="CG25"/>
      <c r="CH25"/>
      <c r="CI25"/>
      <c r="CJ25"/>
    </row>
    <row r="26" spans="35:88" x14ac:dyDescent="0.25">
      <c r="AI26"/>
      <c r="AJ26"/>
      <c r="AK26"/>
      <c r="CC26"/>
      <c r="CD26"/>
      <c r="CE26"/>
      <c r="CF26"/>
      <c r="CG26"/>
      <c r="CH26"/>
      <c r="CI26"/>
      <c r="CJ26"/>
    </row>
    <row r="27" spans="35:88" x14ac:dyDescent="0.25">
      <c r="AI27"/>
      <c r="AJ27"/>
      <c r="AK27"/>
      <c r="CC27"/>
      <c r="CD27"/>
      <c r="CE27"/>
      <c r="CF27"/>
      <c r="CG27"/>
      <c r="CH27"/>
      <c r="CI27"/>
      <c r="CJ27"/>
    </row>
    <row r="28" spans="35:88" x14ac:dyDescent="0.25">
      <c r="AI28"/>
      <c r="AJ28"/>
      <c r="AK28"/>
      <c r="CC28"/>
      <c r="CD28"/>
      <c r="CE28"/>
      <c r="CF28"/>
      <c r="CG28"/>
      <c r="CH28"/>
      <c r="CI28"/>
      <c r="CJ28"/>
    </row>
    <row r="29" spans="35:88" x14ac:dyDescent="0.25">
      <c r="AI29"/>
      <c r="AJ29"/>
      <c r="AK29"/>
      <c r="CC29"/>
      <c r="CD29"/>
      <c r="CE29"/>
      <c r="CF29"/>
      <c r="CG29"/>
      <c r="CH29"/>
      <c r="CI29"/>
      <c r="CJ29"/>
    </row>
    <row r="30" spans="35:88" x14ac:dyDescent="0.25">
      <c r="AI30"/>
      <c r="AJ30"/>
      <c r="AK30"/>
      <c r="CC30"/>
      <c r="CD30"/>
      <c r="CE30"/>
      <c r="CF30"/>
      <c r="CG30"/>
      <c r="CH30"/>
      <c r="CI30"/>
      <c r="CJ30"/>
    </row>
    <row r="31" spans="35:88" x14ac:dyDescent="0.25">
      <c r="AI31"/>
      <c r="AJ31"/>
      <c r="AK31"/>
      <c r="CC31"/>
      <c r="CD31"/>
      <c r="CE31"/>
      <c r="CF31"/>
      <c r="CG31"/>
      <c r="CH31"/>
      <c r="CI31"/>
      <c r="CJ31"/>
    </row>
    <row r="32" spans="35:88" x14ac:dyDescent="0.25">
      <c r="AI32"/>
      <c r="AJ32"/>
      <c r="AK32"/>
      <c r="CC32"/>
      <c r="CD32"/>
      <c r="CE32"/>
      <c r="CF32"/>
      <c r="CG32"/>
      <c r="CH32"/>
      <c r="CI32"/>
      <c r="CJ32"/>
    </row>
    <row r="33" spans="35:88" x14ac:dyDescent="0.25">
      <c r="AI33"/>
      <c r="AJ33"/>
      <c r="AK33"/>
      <c r="CC33"/>
      <c r="CD33"/>
      <c r="CE33"/>
      <c r="CF33"/>
      <c r="CG33"/>
      <c r="CH33"/>
      <c r="CI33"/>
      <c r="CJ33"/>
    </row>
    <row r="34" spans="35:88" x14ac:dyDescent="0.25">
      <c r="AI34"/>
      <c r="AJ34"/>
      <c r="AK34"/>
      <c r="CC34"/>
      <c r="CD34"/>
      <c r="CE34"/>
      <c r="CF34"/>
      <c r="CG34"/>
      <c r="CH34"/>
      <c r="CI34"/>
      <c r="CJ34"/>
    </row>
    <row r="35" spans="35:88" x14ac:dyDescent="0.25">
      <c r="AI35"/>
      <c r="AJ35"/>
      <c r="AK35"/>
      <c r="CC35"/>
      <c r="CD35"/>
      <c r="CE35"/>
      <c r="CF35"/>
      <c r="CG35"/>
      <c r="CH35"/>
      <c r="CI35"/>
      <c r="CJ35"/>
    </row>
    <row r="36" spans="35:88" x14ac:dyDescent="0.25">
      <c r="AI36"/>
      <c r="AJ36"/>
      <c r="AK36"/>
      <c r="CC36"/>
      <c r="CD36"/>
      <c r="CE36"/>
      <c r="CF36"/>
      <c r="CG36"/>
      <c r="CH36"/>
      <c r="CI36"/>
      <c r="CJ36"/>
    </row>
    <row r="37" spans="35:88" x14ac:dyDescent="0.25">
      <c r="AI37"/>
      <c r="AJ37"/>
      <c r="AK37"/>
      <c r="CC37"/>
      <c r="CD37"/>
      <c r="CE37"/>
      <c r="CF37"/>
      <c r="CG37"/>
      <c r="CH37"/>
      <c r="CI37"/>
      <c r="CJ37"/>
    </row>
    <row r="38" spans="35:88" x14ac:dyDescent="0.25">
      <c r="AI38"/>
      <c r="AJ38"/>
      <c r="AK38"/>
      <c r="CC38"/>
      <c r="CD38"/>
      <c r="CE38"/>
      <c r="CF38"/>
      <c r="CG38"/>
      <c r="CH38"/>
      <c r="CI38"/>
      <c r="CJ38"/>
    </row>
  </sheetData>
  <mergeCells count="1">
    <mergeCell ref="A1:F1"/>
  </mergeCells>
  <conditionalFormatting sqref="AP4:AU4 BR4:BX4 CK4 AL3:AT4 AM3:AV3 AV3:AV4">
    <cfRule type="containsText" dxfId="612" priority="20326" stopIfTrue="1" operator="containsText" text="LWP">
      <formula>NOT(ISERROR(SEARCH("LWP",AL3)))</formula>
    </cfRule>
    <cfRule type="expression" dxfId="611" priority="20327" stopIfTrue="1">
      <formula>RIGHT(AL3,2)="PL"</formula>
    </cfRule>
    <cfRule type="expression" dxfId="610" priority="20328" stopIfTrue="1">
      <formula>LEFT(AL3,2)="AB"</formula>
    </cfRule>
  </conditionalFormatting>
  <conditionalFormatting sqref="AP4:AU4 BR4:BX4 CK4 AL3:AT4 AM3:AV3 AV3:AV4">
    <cfRule type="containsText" dxfId="609" priority="20324" stopIfTrue="1" operator="containsText" text="HO">
      <formula>NOT(ISERROR(SEARCH("HO",AL3)))</formula>
    </cfRule>
    <cfRule type="containsText" dxfId="608" priority="20325" stopIfTrue="1" operator="containsText" text="HO">
      <formula>NOT(ISERROR(SEARCH("HO",AL3)))</formula>
    </cfRule>
  </conditionalFormatting>
  <conditionalFormatting sqref="AP4:AU4 BR4:BX4 CK4 AL3:AT4 AM3:AV3 AV3:AV4">
    <cfRule type="containsText" dxfId="607" priority="20322" stopIfTrue="1" operator="containsText" text="LWP">
      <formula>NOT(ISERROR(SEARCH("LWP",AL3)))</formula>
    </cfRule>
    <cfRule type="containsText" dxfId="606" priority="20323" stopIfTrue="1" operator="containsText" text="LWP">
      <formula>NOT(ISERROR(SEARCH("LWP",AL3)))</formula>
    </cfRule>
  </conditionalFormatting>
  <conditionalFormatting sqref="AP4:AU4 BR4:BX4 CK4 AL3:AT4 AM3:AV3 AV3:AV4">
    <cfRule type="cellIs" dxfId="605" priority="20321" stopIfTrue="1" operator="equal">
      <formula>"AB"</formula>
    </cfRule>
  </conditionalFormatting>
  <conditionalFormatting sqref="AP4:AU4 BR4:BX4 CK4 AL3:AT4 AM3:AV3 AV3:AV4">
    <cfRule type="containsText" dxfId="604" priority="20320" stopIfTrue="1" operator="containsText" text="WO">
      <formula>NOT(ISERROR(SEARCH("WO",AL3)))</formula>
    </cfRule>
  </conditionalFormatting>
  <conditionalFormatting sqref="A2 C2:F2 AP4:AU4 BR4:BX4 CK4 AL3:AT4 AM3:AV3 AV3:AV4">
    <cfRule type="containsText" dxfId="603" priority="20319" stopIfTrue="1" operator="containsText" text="co">
      <formula>NOT(ISERROR(SEARCH("co",A2)))</formula>
    </cfRule>
  </conditionalFormatting>
  <conditionalFormatting sqref="AT2:AU2 AL2:AO2">
    <cfRule type="containsText" dxfId="602" priority="20316" stopIfTrue="1" operator="containsText" text="LWP">
      <formula>NOT(ISERROR(SEARCH("LWP",AL2)))</formula>
    </cfRule>
    <cfRule type="expression" dxfId="601" priority="20317" stopIfTrue="1">
      <formula>RIGHT(AL2,2)="PL"</formula>
    </cfRule>
    <cfRule type="expression" dxfId="600" priority="20318" stopIfTrue="1">
      <formula>LEFT(AL2,2)="AB"</formula>
    </cfRule>
  </conditionalFormatting>
  <conditionalFormatting sqref="AT2:AU2 AL2:AO2">
    <cfRule type="containsText" dxfId="599" priority="20314" stopIfTrue="1" operator="containsText" text="HO">
      <formula>NOT(ISERROR(SEARCH("HO",AL2)))</formula>
    </cfRule>
    <cfRule type="containsText" dxfId="598" priority="20315" stopIfTrue="1" operator="containsText" text="HO">
      <formula>NOT(ISERROR(SEARCH("HO",AL2)))</formula>
    </cfRule>
  </conditionalFormatting>
  <conditionalFormatting sqref="AT2:AU2 AL2:AO2">
    <cfRule type="containsText" dxfId="597" priority="20312" stopIfTrue="1" operator="containsText" text="LWP">
      <formula>NOT(ISERROR(SEARCH("LWP",AL2)))</formula>
    </cfRule>
    <cfRule type="containsText" dxfId="596" priority="20313" stopIfTrue="1" operator="containsText" text="LWP">
      <formula>NOT(ISERROR(SEARCH("LWP",AL2)))</formula>
    </cfRule>
  </conditionalFormatting>
  <conditionalFormatting sqref="AT2:AU2 AL2:AO2">
    <cfRule type="cellIs" dxfId="595" priority="20311" stopIfTrue="1" operator="equal">
      <formula>"AB"</formula>
    </cfRule>
  </conditionalFormatting>
  <conditionalFormatting sqref="AT2:AU2 AL2:AO2">
    <cfRule type="containsText" dxfId="594" priority="20310" stopIfTrue="1" operator="containsText" text="WO">
      <formula>NOT(ISERROR(SEARCH("WO",AL2)))</formula>
    </cfRule>
  </conditionalFormatting>
  <conditionalFormatting sqref="AT2:AU2 AL2:AO2">
    <cfRule type="containsText" dxfId="593" priority="20309" stopIfTrue="1" operator="containsText" text="co">
      <formula>NOT(ISERROR(SEARCH("co",AL2)))</formula>
    </cfRule>
  </conditionalFormatting>
  <conditionalFormatting sqref="C2">
    <cfRule type="duplicateValues" dxfId="592" priority="20305"/>
  </conditionalFormatting>
  <conditionalFormatting sqref="A2">
    <cfRule type="duplicateValues" dxfId="591" priority="20304"/>
  </conditionalFormatting>
  <conditionalFormatting sqref="A2">
    <cfRule type="duplicateValues" dxfId="590" priority="20303"/>
  </conditionalFormatting>
  <conditionalFormatting sqref="A2">
    <cfRule type="duplicateValues" dxfId="589" priority="20302"/>
  </conditionalFormatting>
  <conditionalFormatting sqref="A2">
    <cfRule type="duplicateValues" dxfId="588" priority="20301"/>
  </conditionalFormatting>
  <conditionalFormatting sqref="B2">
    <cfRule type="duplicateValues" dxfId="587" priority="20290"/>
  </conditionalFormatting>
  <conditionalFormatting sqref="B2">
    <cfRule type="duplicateValues" dxfId="586" priority="20289"/>
  </conditionalFormatting>
  <conditionalFormatting sqref="B2">
    <cfRule type="duplicateValues" dxfId="585" priority="20288"/>
  </conditionalFormatting>
  <conditionalFormatting sqref="A1">
    <cfRule type="duplicateValues" dxfId="584" priority="20286"/>
  </conditionalFormatting>
  <conditionalFormatting sqref="A1">
    <cfRule type="duplicateValues" dxfId="583" priority="20285"/>
  </conditionalFormatting>
  <conditionalFormatting sqref="A1">
    <cfRule type="duplicateValues" dxfId="582" priority="20284"/>
  </conditionalFormatting>
  <conditionalFormatting sqref="A1">
    <cfRule type="duplicateValues" dxfId="581" priority="20283"/>
  </conditionalFormatting>
  <conditionalFormatting sqref="A1">
    <cfRule type="duplicateValues" dxfId="580" priority="20282"/>
  </conditionalFormatting>
  <conditionalFormatting sqref="AL1:AO1">
    <cfRule type="containsText" dxfId="579" priority="20271" stopIfTrue="1" operator="containsText" text="LWP">
      <formula>NOT(ISERROR(SEARCH("LWP",AL1)))</formula>
    </cfRule>
    <cfRule type="expression" dxfId="578" priority="20272" stopIfTrue="1">
      <formula>RIGHT(AL1,2)="PL"</formula>
    </cfRule>
    <cfRule type="expression" dxfId="577" priority="20273" stopIfTrue="1">
      <formula>LEFT(AL1,2)="AB"</formula>
    </cfRule>
  </conditionalFormatting>
  <conditionalFormatting sqref="AL1:AO1">
    <cfRule type="containsText" dxfId="576" priority="20269" stopIfTrue="1" operator="containsText" text="HO">
      <formula>NOT(ISERROR(SEARCH("HO",AL1)))</formula>
    </cfRule>
    <cfRule type="containsText" dxfId="575" priority="20270" stopIfTrue="1" operator="containsText" text="HO">
      <formula>NOT(ISERROR(SEARCH("HO",AL1)))</formula>
    </cfRule>
  </conditionalFormatting>
  <conditionalFormatting sqref="AL1:AO1">
    <cfRule type="containsText" dxfId="574" priority="20267" stopIfTrue="1" operator="containsText" text="LWP">
      <formula>NOT(ISERROR(SEARCH("LWP",AL1)))</formula>
    </cfRule>
    <cfRule type="containsText" dxfId="573" priority="20268" stopIfTrue="1" operator="containsText" text="LWP">
      <formula>NOT(ISERROR(SEARCH("LWP",AL1)))</formula>
    </cfRule>
  </conditionalFormatting>
  <conditionalFormatting sqref="AL1:AO1">
    <cfRule type="cellIs" dxfId="572" priority="20266" stopIfTrue="1" operator="equal">
      <formula>"AB"</formula>
    </cfRule>
  </conditionalFormatting>
  <conditionalFormatting sqref="AL1:AO1">
    <cfRule type="containsText" dxfId="571" priority="20265" stopIfTrue="1" operator="containsText" text="WO">
      <formula>NOT(ISERROR(SEARCH("WO",AL1)))</formula>
    </cfRule>
  </conditionalFormatting>
  <conditionalFormatting sqref="AL1:AO1">
    <cfRule type="containsText" dxfId="570" priority="20264" stopIfTrue="1" operator="containsText" text="co">
      <formula>NOT(ISERROR(SEARCH("co",AL1)))</formula>
    </cfRule>
  </conditionalFormatting>
  <conditionalFormatting sqref="CC1">
    <cfRule type="duplicateValues" dxfId="569" priority="20262"/>
    <cfRule type="duplicateValues" dxfId="568" priority="20263"/>
  </conditionalFormatting>
  <conditionalFormatting sqref="CC1">
    <cfRule type="duplicateValues" dxfId="567" priority="20261"/>
  </conditionalFormatting>
  <conditionalFormatting sqref="A4:F4">
    <cfRule type="cellIs" dxfId="566" priority="20256" operator="equal">
      <formula>"AB"</formula>
    </cfRule>
    <cfRule type="cellIs" dxfId="565" priority="20257" operator="equal">
      <formula>"wo"</formula>
    </cfRule>
    <cfRule type="cellIs" dxfId="564" priority="20258" operator="equal">
      <formula>"NJY"</formula>
    </cfRule>
    <cfRule type="cellIs" dxfId="563" priority="20259" operator="equal">
      <formula>"lwp"</formula>
    </cfRule>
    <cfRule type="cellIs" dxfId="562" priority="20260" operator="equal">
      <formula>"p"</formula>
    </cfRule>
  </conditionalFormatting>
  <conditionalFormatting sqref="CC2">
    <cfRule type="duplicateValues" dxfId="561" priority="17341"/>
    <cfRule type="duplicateValues" dxfId="560" priority="17342"/>
  </conditionalFormatting>
  <conditionalFormatting sqref="CC2">
    <cfRule type="duplicateValues" dxfId="559" priority="17340"/>
  </conditionalFormatting>
  <conditionalFormatting sqref="A3:F3">
    <cfRule type="cellIs" dxfId="558" priority="16533" operator="equal">
      <formula>"AB"</formula>
    </cfRule>
    <cfRule type="cellIs" dxfId="557" priority="16534" operator="equal">
      <formula>"wo"</formula>
    </cfRule>
    <cfRule type="cellIs" dxfId="556" priority="16535" operator="equal">
      <formula>"NJY"</formula>
    </cfRule>
    <cfRule type="cellIs" dxfId="555" priority="16536" operator="equal">
      <formula>"lwp"</formula>
    </cfRule>
    <cfRule type="cellIs" dxfId="554" priority="16537" operator="equal">
      <formula>"p"</formula>
    </cfRule>
  </conditionalFormatting>
  <conditionalFormatting sqref="A3">
    <cfRule type="duplicateValues" dxfId="553" priority="16538"/>
  </conditionalFormatting>
  <conditionalFormatting sqref="AM3:AV3 AV3:AV4">
    <cfRule type="containsText" dxfId="552" priority="13337" stopIfTrue="1" operator="containsText" text="LWP">
      <formula>NOT(ISERROR(SEARCH("LWP",AM3)))</formula>
    </cfRule>
    <cfRule type="expression" dxfId="551" priority="13338" stopIfTrue="1">
      <formula>RIGHT(AM3,2)="PL"</formula>
    </cfRule>
    <cfRule type="expression" dxfId="550" priority="13339" stopIfTrue="1">
      <formula>LEFT(AM3,2)="AB"</formula>
    </cfRule>
  </conditionalFormatting>
  <conditionalFormatting sqref="AM3:AV3 AV3:AV4">
    <cfRule type="containsText" dxfId="549" priority="13335" stopIfTrue="1" operator="containsText" text="HO">
      <formula>NOT(ISERROR(SEARCH("HO",AM3)))</formula>
    </cfRule>
    <cfRule type="containsText" dxfId="548" priority="13336" stopIfTrue="1" operator="containsText" text="HO">
      <formula>NOT(ISERROR(SEARCH("HO",AM3)))</formula>
    </cfRule>
  </conditionalFormatting>
  <conditionalFormatting sqref="AM3:AV3 AV3:AV4">
    <cfRule type="containsText" dxfId="547" priority="13333" stopIfTrue="1" operator="containsText" text="LWP">
      <formula>NOT(ISERROR(SEARCH("LWP",AM3)))</formula>
    </cfRule>
    <cfRule type="containsText" dxfId="546" priority="13334" stopIfTrue="1" operator="containsText" text="LWP">
      <formula>NOT(ISERROR(SEARCH("LWP",AM3)))</formula>
    </cfRule>
  </conditionalFormatting>
  <conditionalFormatting sqref="AM3:AV3 AV3:AV4">
    <cfRule type="cellIs" dxfId="545" priority="13332" stopIfTrue="1" operator="equal">
      <formula>"AB"</formula>
    </cfRule>
  </conditionalFormatting>
  <conditionalFormatting sqref="AM3:AV3 AV3:AV4">
    <cfRule type="containsText" dxfId="544" priority="13331" stopIfTrue="1" operator="containsText" text="WO">
      <formula>NOT(ISERROR(SEARCH("WO",AM3)))</formula>
    </cfRule>
  </conditionalFormatting>
  <conditionalFormatting sqref="AM3:AV3 AV3:AV4">
    <cfRule type="containsText" dxfId="543" priority="13330" stopIfTrue="1" operator="containsText" text="co">
      <formula>NOT(ISERROR(SEARCH("co",AM3)))</formula>
    </cfRule>
  </conditionalFormatting>
  <conditionalFormatting sqref="BR3:BX3">
    <cfRule type="containsText" dxfId="542" priority="13327" stopIfTrue="1" operator="containsText" text="LWP">
      <formula>NOT(ISERROR(SEARCH("LWP",BR3)))</formula>
    </cfRule>
    <cfRule type="expression" dxfId="541" priority="13328" stopIfTrue="1">
      <formula>RIGHT(BR3,2)="PL"</formula>
    </cfRule>
    <cfRule type="expression" dxfId="540" priority="13329" stopIfTrue="1">
      <formula>LEFT(BR3,2)="AB"</formula>
    </cfRule>
  </conditionalFormatting>
  <conditionalFormatting sqref="BR3:BX3">
    <cfRule type="containsText" dxfId="539" priority="13325" stopIfTrue="1" operator="containsText" text="HO">
      <formula>NOT(ISERROR(SEARCH("HO",BR3)))</formula>
    </cfRule>
    <cfRule type="containsText" dxfId="538" priority="13326" stopIfTrue="1" operator="containsText" text="HO">
      <formula>NOT(ISERROR(SEARCH("HO",BR3)))</formula>
    </cfRule>
  </conditionalFormatting>
  <conditionalFormatting sqref="BR3:BX3">
    <cfRule type="containsText" dxfId="537" priority="13323" stopIfTrue="1" operator="containsText" text="LWP">
      <formula>NOT(ISERROR(SEARCH("LWP",BR3)))</formula>
    </cfRule>
    <cfRule type="containsText" dxfId="536" priority="13324" stopIfTrue="1" operator="containsText" text="LWP">
      <formula>NOT(ISERROR(SEARCH("LWP",BR3)))</formula>
    </cfRule>
  </conditionalFormatting>
  <conditionalFormatting sqref="BR3:BX3">
    <cfRule type="cellIs" dxfId="535" priority="13322" stopIfTrue="1" operator="equal">
      <formula>"AB"</formula>
    </cfRule>
  </conditionalFormatting>
  <conditionalFormatting sqref="BR3:BX3">
    <cfRule type="containsText" dxfId="534" priority="13321" stopIfTrue="1" operator="containsText" text="WO">
      <formula>NOT(ISERROR(SEARCH("WO",BR3)))</formula>
    </cfRule>
  </conditionalFormatting>
  <conditionalFormatting sqref="BR3:BX3">
    <cfRule type="containsText" dxfId="533" priority="13320" stopIfTrue="1" operator="containsText" text="co">
      <formula>NOT(ISERROR(SEARCH("co",BR3)))</formula>
    </cfRule>
  </conditionalFormatting>
  <conditionalFormatting sqref="CC3">
    <cfRule type="duplicateValues" dxfId="532" priority="13317"/>
  </conditionalFormatting>
  <conditionalFormatting sqref="CC3">
    <cfRule type="duplicateValues" dxfId="531" priority="13318"/>
    <cfRule type="duplicateValues" dxfId="530" priority="13319"/>
  </conditionalFormatting>
  <conditionalFormatting sqref="AT1:AU1">
    <cfRule type="containsText" dxfId="529" priority="6070" stopIfTrue="1" operator="containsText" text="LWP">
      <formula>NOT(ISERROR(SEARCH("LWP",AT1)))</formula>
    </cfRule>
    <cfRule type="expression" dxfId="528" priority="6071" stopIfTrue="1">
      <formula>RIGHT(AT1,2)="PL"</formula>
    </cfRule>
    <cfRule type="expression" dxfId="527" priority="6072" stopIfTrue="1">
      <formula>LEFT(AT1,2)="AB"</formula>
    </cfRule>
  </conditionalFormatting>
  <conditionalFormatting sqref="AT1:AU1">
    <cfRule type="containsText" dxfId="526" priority="6068" stopIfTrue="1" operator="containsText" text="HO">
      <formula>NOT(ISERROR(SEARCH("HO",AT1)))</formula>
    </cfRule>
    <cfRule type="containsText" dxfId="525" priority="6069" stopIfTrue="1" operator="containsText" text="HO">
      <formula>NOT(ISERROR(SEARCH("HO",AT1)))</formula>
    </cfRule>
  </conditionalFormatting>
  <conditionalFormatting sqref="AT1:AU1">
    <cfRule type="containsText" dxfId="524" priority="6066" stopIfTrue="1" operator="containsText" text="LWP">
      <formula>NOT(ISERROR(SEARCH("LWP",AT1)))</formula>
    </cfRule>
    <cfRule type="containsText" dxfId="523" priority="6067" stopIfTrue="1" operator="containsText" text="LWP">
      <formula>NOT(ISERROR(SEARCH("LWP",AT1)))</formula>
    </cfRule>
  </conditionalFormatting>
  <conditionalFormatting sqref="AT1:AU1">
    <cfRule type="cellIs" dxfId="522" priority="6065" stopIfTrue="1" operator="equal">
      <formula>"AB"</formula>
    </cfRule>
  </conditionalFormatting>
  <conditionalFormatting sqref="AT1:AU1">
    <cfRule type="containsText" dxfId="521" priority="6064" stopIfTrue="1" operator="containsText" text="WO">
      <formula>NOT(ISERROR(SEARCH("WO",AT1)))</formula>
    </cfRule>
  </conditionalFormatting>
  <conditionalFormatting sqref="AT1:AU1">
    <cfRule type="containsText" dxfId="520" priority="6063" stopIfTrue="1" operator="containsText" text="co">
      <formula>NOT(ISERROR(SEARCH("co",AT1)))</formula>
    </cfRule>
  </conditionalFormatting>
  <conditionalFormatting sqref="BQ3:BQ4">
    <cfRule type="containsText" dxfId="519" priority="5339" stopIfTrue="1" operator="containsText" text="LWP">
      <formula>NOT(ISERROR(SEARCH("LWP",BQ3)))</formula>
    </cfRule>
    <cfRule type="expression" dxfId="518" priority="5340" stopIfTrue="1">
      <formula>RIGHT(BQ3,2)="PL"</formula>
    </cfRule>
    <cfRule type="expression" dxfId="517" priority="5341" stopIfTrue="1">
      <formula>LEFT(BQ3,2)="AB"</formula>
    </cfRule>
  </conditionalFormatting>
  <conditionalFormatting sqref="BQ3:BQ4">
    <cfRule type="containsText" dxfId="516" priority="5337" stopIfTrue="1" operator="containsText" text="HO">
      <formula>NOT(ISERROR(SEARCH("HO",BQ3)))</formula>
    </cfRule>
    <cfRule type="containsText" dxfId="515" priority="5338" stopIfTrue="1" operator="containsText" text="HO">
      <formula>NOT(ISERROR(SEARCH("HO",BQ3)))</formula>
    </cfRule>
  </conditionalFormatting>
  <conditionalFormatting sqref="BQ3:BQ4">
    <cfRule type="containsText" dxfId="514" priority="5335" stopIfTrue="1" operator="containsText" text="LWP">
      <formula>NOT(ISERROR(SEARCH("LWP",BQ3)))</formula>
    </cfRule>
    <cfRule type="containsText" dxfId="513" priority="5336" stopIfTrue="1" operator="containsText" text="LWP">
      <formula>NOT(ISERROR(SEARCH("LWP",BQ3)))</formula>
    </cfRule>
  </conditionalFormatting>
  <conditionalFormatting sqref="BQ3:BQ4">
    <cfRule type="cellIs" dxfId="512" priority="5334" stopIfTrue="1" operator="equal">
      <formula>"AB"</formula>
    </cfRule>
  </conditionalFormatting>
  <conditionalFormatting sqref="BQ3:BQ4">
    <cfRule type="containsText" dxfId="511" priority="5333" stopIfTrue="1" operator="containsText" text="WO">
      <formula>NOT(ISERROR(SEARCH("WO",BQ3)))</formula>
    </cfRule>
  </conditionalFormatting>
  <conditionalFormatting sqref="BQ3:BQ4">
    <cfRule type="containsText" dxfId="510" priority="5332" stopIfTrue="1" operator="containsText" text="co">
      <formula>NOT(ISERROR(SEARCH("co",BQ3)))</formula>
    </cfRule>
  </conditionalFormatting>
  <conditionalFormatting sqref="G3:AK4">
    <cfRule type="cellIs" dxfId="509" priority="520" operator="equal">
      <formula>"NJY"</formula>
    </cfRule>
  </conditionalFormatting>
  <conditionalFormatting sqref="G3:AK4">
    <cfRule type="cellIs" dxfId="508" priority="521" operator="equal">
      <formula>"NJY"</formula>
    </cfRule>
  </conditionalFormatting>
  <conditionalFormatting sqref="G3:AK4">
    <cfRule type="cellIs" dxfId="507" priority="522" operator="equal">
      <formula>"p"</formula>
    </cfRule>
  </conditionalFormatting>
  <conditionalFormatting sqref="G3:AK4">
    <cfRule type="cellIs" dxfId="506" priority="523" operator="equal">
      <formula>"Resgin"</formula>
    </cfRule>
  </conditionalFormatting>
  <conditionalFormatting sqref="G3:AK4">
    <cfRule type="cellIs" dxfId="505" priority="524" operator="equal">
      <formula>"CO"</formula>
    </cfRule>
  </conditionalFormatting>
  <conditionalFormatting sqref="G3:AK4">
    <cfRule type="cellIs" dxfId="504" priority="525" operator="equal">
      <formula>"PL"</formula>
    </cfRule>
  </conditionalFormatting>
  <conditionalFormatting sqref="G3:AK4">
    <cfRule type="cellIs" dxfId="503" priority="526" operator="equal">
      <formula>"HO"</formula>
    </cfRule>
  </conditionalFormatting>
  <conditionalFormatting sqref="G3:AK4">
    <cfRule type="cellIs" dxfId="502" priority="527" operator="equal">
      <formula>"LWP"</formula>
    </cfRule>
  </conditionalFormatting>
  <conditionalFormatting sqref="G3:AK4">
    <cfRule type="cellIs" dxfId="501" priority="528" operator="equal">
      <formula>"ho"</formula>
    </cfRule>
  </conditionalFormatting>
  <conditionalFormatting sqref="G3:AK4">
    <cfRule type="cellIs" dxfId="500" priority="511" operator="equal">
      <formula>"abscond"</formula>
    </cfRule>
  </conditionalFormatting>
  <conditionalFormatting sqref="G3:AK4">
    <cfRule type="cellIs" dxfId="499" priority="512" operator="equal">
      <formula>"Resign"</formula>
    </cfRule>
  </conditionalFormatting>
  <conditionalFormatting sqref="G3:AK4">
    <cfRule type="cellIs" dxfId="498" priority="513" operator="equal">
      <formula>"Active"</formula>
    </cfRule>
  </conditionalFormatting>
  <conditionalFormatting sqref="G3:AK4">
    <cfRule type="cellIs" dxfId="497" priority="514" operator="equal">
      <formula>0</formula>
    </cfRule>
  </conditionalFormatting>
  <conditionalFormatting sqref="G3:AK4">
    <cfRule type="cellIs" dxfId="496" priority="515" operator="equal">
      <formula>"AB"</formula>
    </cfRule>
  </conditionalFormatting>
  <conditionalFormatting sqref="G3:AK4">
    <cfRule type="cellIs" dxfId="495" priority="516" operator="equal">
      <formula>"wo"</formula>
    </cfRule>
  </conditionalFormatting>
  <conditionalFormatting sqref="G3:AK4">
    <cfRule type="cellIs" dxfId="494" priority="517" operator="equal">
      <formula>"hd"</formula>
    </cfRule>
  </conditionalFormatting>
  <conditionalFormatting sqref="G3:AK4">
    <cfRule type="cellIs" dxfId="493" priority="518" operator="equal">
      <formula>"Inactive"</formula>
    </cfRule>
  </conditionalFormatting>
  <conditionalFormatting sqref="G3:AK4">
    <cfRule type="cellIs" dxfId="492" priority="519" operator="equal">
      <formula>"HO"</formula>
    </cfRule>
  </conditionalFormatting>
  <conditionalFormatting sqref="G3:AK4">
    <cfRule type="cellIs" dxfId="491" priority="509" operator="equal">
      <formula>"CO"</formula>
    </cfRule>
  </conditionalFormatting>
  <conditionalFormatting sqref="G3:AK4">
    <cfRule type="cellIs" dxfId="490" priority="510" operator="equal">
      <formula>"PL"</formula>
    </cfRule>
  </conditionalFormatting>
  <conditionalFormatting sqref="AV4">
    <cfRule type="containsText" dxfId="489" priority="184" stopIfTrue="1" operator="containsText" text="LWP">
      <formula>NOT(ISERROR(SEARCH("LWP",AV4)))</formula>
    </cfRule>
    <cfRule type="expression" dxfId="488" priority="185" stopIfTrue="1">
      <formula>RIGHT(AV4,2)="PL"</formula>
    </cfRule>
    <cfRule type="expression" dxfId="487" priority="186" stopIfTrue="1">
      <formula>LEFT(AV4,2)="AB"</formula>
    </cfRule>
  </conditionalFormatting>
  <conditionalFormatting sqref="AV4">
    <cfRule type="containsText" dxfId="486" priority="182" stopIfTrue="1" operator="containsText" text="HO">
      <formula>NOT(ISERROR(SEARCH("HO",AV4)))</formula>
    </cfRule>
    <cfRule type="containsText" dxfId="485" priority="183" stopIfTrue="1" operator="containsText" text="HO">
      <formula>NOT(ISERROR(SEARCH("HO",AV4)))</formula>
    </cfRule>
  </conditionalFormatting>
  <conditionalFormatting sqref="AV4">
    <cfRule type="containsText" dxfId="484" priority="180" stopIfTrue="1" operator="containsText" text="LWP">
      <formula>NOT(ISERROR(SEARCH("LWP",AV4)))</formula>
    </cfRule>
    <cfRule type="containsText" dxfId="483" priority="181" stopIfTrue="1" operator="containsText" text="LWP">
      <formula>NOT(ISERROR(SEARCH("LWP",AV4)))</formula>
    </cfRule>
  </conditionalFormatting>
  <conditionalFormatting sqref="AV4">
    <cfRule type="cellIs" dxfId="482" priority="179" stopIfTrue="1" operator="equal">
      <formula>"AB"</formula>
    </cfRule>
  </conditionalFormatting>
  <conditionalFormatting sqref="AV4">
    <cfRule type="containsText" dxfId="481" priority="178" stopIfTrue="1" operator="containsText" text="WO">
      <formula>NOT(ISERROR(SEARCH("WO",AV4)))</formula>
    </cfRule>
  </conditionalFormatting>
  <conditionalFormatting sqref="AV4">
    <cfRule type="containsText" dxfId="480" priority="177" stopIfTrue="1" operator="containsText" text="co">
      <formula>NOT(ISERROR(SEARCH("co",AV4)))</formula>
    </cfRule>
  </conditionalFormatting>
  <conditionalFormatting sqref="AV4">
    <cfRule type="containsText" dxfId="479" priority="174" stopIfTrue="1" operator="containsText" text="LWP">
      <formula>NOT(ISERROR(SEARCH("LWP",AV4)))</formula>
    </cfRule>
    <cfRule type="expression" dxfId="478" priority="175" stopIfTrue="1">
      <formula>RIGHT(AV4,2)="PL"</formula>
    </cfRule>
    <cfRule type="expression" dxfId="477" priority="176" stopIfTrue="1">
      <formula>LEFT(AV4,2)="AB"</formula>
    </cfRule>
  </conditionalFormatting>
  <conditionalFormatting sqref="AV4">
    <cfRule type="containsText" dxfId="476" priority="172" stopIfTrue="1" operator="containsText" text="HO">
      <formula>NOT(ISERROR(SEARCH("HO",AV4)))</formula>
    </cfRule>
    <cfRule type="containsText" dxfId="475" priority="173" stopIfTrue="1" operator="containsText" text="HO">
      <formula>NOT(ISERROR(SEARCH("HO",AV4)))</formula>
    </cfRule>
  </conditionalFormatting>
  <conditionalFormatting sqref="AV4">
    <cfRule type="containsText" dxfId="474" priority="170" stopIfTrue="1" operator="containsText" text="LWP">
      <formula>NOT(ISERROR(SEARCH("LWP",AV4)))</formula>
    </cfRule>
    <cfRule type="containsText" dxfId="473" priority="171" stopIfTrue="1" operator="containsText" text="LWP">
      <formula>NOT(ISERROR(SEARCH("LWP",AV4)))</formula>
    </cfRule>
  </conditionalFormatting>
  <conditionalFormatting sqref="AV4">
    <cfRule type="cellIs" dxfId="472" priority="169" stopIfTrue="1" operator="equal">
      <formula>"AB"</formula>
    </cfRule>
  </conditionalFormatting>
  <conditionalFormatting sqref="AV4">
    <cfRule type="containsText" dxfId="471" priority="168" stopIfTrue="1" operator="containsText" text="WO">
      <formula>NOT(ISERROR(SEARCH("WO",AV4)))</formula>
    </cfRule>
  </conditionalFormatting>
  <conditionalFormatting sqref="AV4">
    <cfRule type="containsText" dxfId="470" priority="167" stopIfTrue="1" operator="containsText" text="co">
      <formula>NOT(ISERROR(SEARCH("co",AV4)))</formula>
    </cfRule>
  </conditionalFormatting>
  <conditionalFormatting sqref="A4">
    <cfRule type="duplicateValues" dxfId="469" priority="21396"/>
  </conditionalFormatting>
  <conditionalFormatting sqref="CC4">
    <cfRule type="duplicateValues" dxfId="468" priority="21397"/>
  </conditionalFormatting>
  <conditionalFormatting sqref="CC4">
    <cfRule type="duplicateValues" dxfId="467" priority="21398"/>
    <cfRule type="duplicateValues" dxfId="466" priority="21399"/>
  </conditionalFormatting>
  <conditionalFormatting sqref="CB4">
    <cfRule type="duplicateValues" dxfId="465" priority="21400"/>
  </conditionalFormatting>
  <conditionalFormatting sqref="CB4">
    <cfRule type="duplicateValues" dxfId="464" priority="21401"/>
  </conditionalFormatting>
  <conditionalFormatting sqref="BZ4:CA4">
    <cfRule type="duplicateValues" dxfId="463" priority="21402"/>
  </conditionalFormatting>
  <hyperlinks>
    <hyperlink ref="CL3" r:id="rId1"/>
    <hyperlink ref="CL4" r:id="rId2"/>
  </hyperlinks>
  <pageMargins left="0.7" right="0.7" top="0.75" bottom="0.75" header="0.3" footer="0.3"/>
  <pageSetup paperSize="9" orientation="portrait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4"/>
  <sheetViews>
    <sheetView topLeftCell="CF1" workbookViewId="0">
      <selection activeCell="CL3" sqref="CL3"/>
    </sheetView>
  </sheetViews>
  <sheetFormatPr defaultRowHeight="15" x14ac:dyDescent="0.25"/>
  <cols>
    <col min="1" max="1" width="11.42578125" bestFit="1" customWidth="1"/>
    <col min="2" max="2" width="18.42578125" bestFit="1" customWidth="1"/>
    <col min="3" max="3" width="13.5703125" bestFit="1" customWidth="1"/>
    <col min="4" max="4" width="8.42578125" bestFit="1" customWidth="1"/>
    <col min="5" max="5" width="7.5703125" bestFit="1" customWidth="1"/>
    <col min="6" max="6" width="9.85546875" bestFit="1" customWidth="1"/>
    <col min="7" max="27" width="7.7109375" bestFit="1" customWidth="1"/>
    <col min="28" max="37" width="7.42578125" bestFit="1" customWidth="1"/>
    <col min="38" max="38" width="5.85546875" bestFit="1" customWidth="1"/>
    <col min="39" max="39" width="7.140625" bestFit="1" customWidth="1"/>
    <col min="40" max="40" width="8.5703125" bestFit="1" customWidth="1"/>
    <col min="41" max="41" width="5" bestFit="1" customWidth="1"/>
    <col min="42" max="42" width="4.5703125" bestFit="1" customWidth="1"/>
    <col min="43" max="43" width="5.5703125" bestFit="1" customWidth="1"/>
    <col min="44" max="44" width="7" bestFit="1" customWidth="1"/>
    <col min="45" max="45" width="3.85546875" bestFit="1" customWidth="1"/>
    <col min="46" max="46" width="5.42578125" bestFit="1" customWidth="1"/>
    <col min="47" max="47" width="6.140625" bestFit="1" customWidth="1"/>
    <col min="48" max="48" width="8.5703125" bestFit="1" customWidth="1"/>
    <col min="49" max="49" width="12.7109375" bestFit="1" customWidth="1"/>
    <col min="50" max="50" width="10.5703125" bestFit="1" customWidth="1"/>
    <col min="51" max="51" width="10" bestFit="1" customWidth="1"/>
    <col min="52" max="52" width="19.85546875" bestFit="1" customWidth="1"/>
    <col min="53" max="53" width="22.85546875" bestFit="1" customWidth="1"/>
    <col min="54" max="54" width="18" bestFit="1" customWidth="1"/>
    <col min="55" max="55" width="15.5703125" bestFit="1" customWidth="1"/>
    <col min="56" max="56" width="9.85546875" bestFit="1" customWidth="1"/>
    <col min="57" max="57" width="23" bestFit="1" customWidth="1"/>
    <col min="58" max="58" width="12" bestFit="1" customWidth="1"/>
    <col min="59" max="59" width="11.42578125" bestFit="1" customWidth="1"/>
    <col min="60" max="60" width="21.42578125" bestFit="1" customWidth="1"/>
    <col min="61" max="61" width="24.140625" bestFit="1" customWidth="1"/>
    <col min="62" max="62" width="19.42578125" bestFit="1" customWidth="1"/>
    <col min="63" max="63" width="20.5703125" bestFit="1" customWidth="1"/>
    <col min="64" max="64" width="7.85546875" bestFit="1" customWidth="1"/>
    <col min="65" max="65" width="6.5703125" bestFit="1" customWidth="1"/>
    <col min="66" max="66" width="8.42578125" bestFit="1" customWidth="1"/>
    <col min="67" max="67" width="19.140625" bestFit="1" customWidth="1"/>
    <col min="68" max="68" width="11.140625" bestFit="1" customWidth="1"/>
    <col min="69" max="69" width="27.5703125" bestFit="1" customWidth="1"/>
    <col min="70" max="70" width="19.140625" bestFit="1" customWidth="1"/>
    <col min="71" max="71" width="22.140625" bestFit="1" customWidth="1"/>
    <col min="72" max="72" width="27" bestFit="1" customWidth="1"/>
    <col min="73" max="73" width="4.28515625" bestFit="1" customWidth="1"/>
    <col min="74" max="74" width="13.28515625" bestFit="1" customWidth="1"/>
    <col min="75" max="75" width="12.85546875" bestFit="1" customWidth="1"/>
    <col min="76" max="76" width="9.140625" bestFit="1" customWidth="1"/>
    <col min="77" max="77" width="13.7109375" bestFit="1" customWidth="1"/>
    <col min="78" max="78" width="11.140625" bestFit="1" customWidth="1"/>
    <col min="79" max="79" width="11.85546875" bestFit="1" customWidth="1"/>
    <col min="80" max="80" width="4.85546875" bestFit="1" customWidth="1"/>
    <col min="81" max="81" width="13.7109375" bestFit="1" customWidth="1"/>
    <col min="82" max="82" width="9.85546875" bestFit="1" customWidth="1"/>
    <col min="83" max="83" width="9.42578125" bestFit="1" customWidth="1"/>
    <col min="84" max="84" width="12.7109375" bestFit="1" customWidth="1"/>
    <col min="85" max="85" width="18.85546875" bestFit="1" customWidth="1"/>
    <col min="86" max="86" width="18.7109375" bestFit="1" customWidth="1"/>
    <col min="87" max="87" width="16.42578125" bestFit="1" customWidth="1"/>
    <col min="88" max="88" width="18.85546875" bestFit="1" customWidth="1"/>
    <col min="89" max="89" width="7.42578125" bestFit="1" customWidth="1"/>
    <col min="90" max="90" width="24.5703125" bestFit="1" customWidth="1"/>
  </cols>
  <sheetData>
    <row r="1" spans="1:90" s="67" customFormat="1" ht="14.25" customHeight="1" x14ac:dyDescent="0.25">
      <c r="A1" s="73" t="s">
        <v>0</v>
      </c>
      <c r="B1" s="73"/>
      <c r="C1" s="73"/>
      <c r="D1" s="73"/>
      <c r="E1" s="73"/>
      <c r="F1" s="73"/>
      <c r="G1" s="40" t="s">
        <v>89</v>
      </c>
      <c r="H1" s="40" t="s">
        <v>90</v>
      </c>
      <c r="I1" s="40" t="s">
        <v>91</v>
      </c>
      <c r="J1" s="40" t="s">
        <v>92</v>
      </c>
      <c r="K1" s="40" t="s">
        <v>86</v>
      </c>
      <c r="L1" s="40" t="s">
        <v>87</v>
      </c>
      <c r="M1" s="40" t="s">
        <v>88</v>
      </c>
      <c r="N1" s="40" t="s">
        <v>89</v>
      </c>
      <c r="O1" s="40" t="s">
        <v>90</v>
      </c>
      <c r="P1" s="40" t="s">
        <v>91</v>
      </c>
      <c r="Q1" s="40" t="s">
        <v>92</v>
      </c>
      <c r="R1" s="40" t="s">
        <v>86</v>
      </c>
      <c r="S1" s="40" t="s">
        <v>87</v>
      </c>
      <c r="T1" s="40" t="s">
        <v>88</v>
      </c>
      <c r="U1" s="40" t="s">
        <v>89</v>
      </c>
      <c r="V1" s="40" t="s">
        <v>90</v>
      </c>
      <c r="W1" s="40" t="s">
        <v>91</v>
      </c>
      <c r="X1" s="40" t="s">
        <v>92</v>
      </c>
      <c r="Y1" s="40" t="s">
        <v>86</v>
      </c>
      <c r="Z1" s="40" t="s">
        <v>87</v>
      </c>
      <c r="AA1" s="40" t="s">
        <v>88</v>
      </c>
      <c r="AB1" s="40" t="s">
        <v>89</v>
      </c>
      <c r="AC1" s="40" t="s">
        <v>90</v>
      </c>
      <c r="AD1" s="40" t="s">
        <v>91</v>
      </c>
      <c r="AE1" s="40" t="s">
        <v>92</v>
      </c>
      <c r="AF1" s="40" t="s">
        <v>86</v>
      </c>
      <c r="AG1" s="40" t="s">
        <v>87</v>
      </c>
      <c r="AH1" s="40" t="s">
        <v>88</v>
      </c>
      <c r="AI1" s="40" t="s">
        <v>89</v>
      </c>
      <c r="AJ1" s="40" t="s">
        <v>90</v>
      </c>
      <c r="AK1" s="40" t="s">
        <v>91</v>
      </c>
      <c r="AL1" s="1"/>
      <c r="AM1" s="1"/>
      <c r="AN1" s="1"/>
      <c r="AO1" s="2" t="s">
        <v>1</v>
      </c>
      <c r="AP1" s="3" t="s">
        <v>2</v>
      </c>
      <c r="AQ1" s="45" t="s">
        <v>52</v>
      </c>
      <c r="AR1" s="46" t="s">
        <v>53</v>
      </c>
      <c r="AS1" s="47" t="s">
        <v>54</v>
      </c>
      <c r="AT1" s="43" t="s">
        <v>55</v>
      </c>
      <c r="AU1" s="48" t="s">
        <v>56</v>
      </c>
      <c r="AV1" s="4" t="s">
        <v>3</v>
      </c>
      <c r="AW1" s="4" t="s">
        <v>4</v>
      </c>
      <c r="AX1" s="5" t="s">
        <v>5</v>
      </c>
      <c r="AY1" s="5" t="s">
        <v>6</v>
      </c>
      <c r="AZ1" s="5" t="s">
        <v>7</v>
      </c>
      <c r="BA1" s="5" t="s">
        <v>8</v>
      </c>
      <c r="BB1" s="5" t="s">
        <v>9</v>
      </c>
      <c r="BC1" s="5" t="s">
        <v>10</v>
      </c>
      <c r="BD1" s="5" t="s">
        <v>11</v>
      </c>
      <c r="BE1" s="5" t="s">
        <v>12</v>
      </c>
      <c r="BF1" s="5" t="s">
        <v>13</v>
      </c>
      <c r="BG1" s="5" t="s">
        <v>14</v>
      </c>
      <c r="BH1" s="5" t="s">
        <v>15</v>
      </c>
      <c r="BI1" s="5" t="s">
        <v>16</v>
      </c>
      <c r="BJ1" s="5" t="s">
        <v>17</v>
      </c>
      <c r="BK1" s="5" t="s">
        <v>18</v>
      </c>
      <c r="BL1" s="5" t="s">
        <v>19</v>
      </c>
      <c r="BM1" s="5" t="s">
        <v>20</v>
      </c>
      <c r="BN1" s="5" t="s">
        <v>21</v>
      </c>
      <c r="BO1" s="5" t="s">
        <v>22</v>
      </c>
      <c r="BP1" s="5" t="s">
        <v>23</v>
      </c>
      <c r="BQ1" s="5" t="s">
        <v>24</v>
      </c>
      <c r="BR1" s="5" t="s">
        <v>25</v>
      </c>
      <c r="BS1" s="5" t="s">
        <v>26</v>
      </c>
      <c r="BT1" s="5" t="s">
        <v>27</v>
      </c>
      <c r="BU1" s="5" t="s">
        <v>28</v>
      </c>
      <c r="BV1" s="5" t="s">
        <v>29</v>
      </c>
      <c r="BW1" s="5" t="s">
        <v>30</v>
      </c>
      <c r="BX1" s="6" t="s">
        <v>31</v>
      </c>
      <c r="BY1" s="5" t="s">
        <v>32</v>
      </c>
      <c r="BZ1" s="5" t="s">
        <v>33</v>
      </c>
      <c r="CA1" s="5" t="s">
        <v>34</v>
      </c>
      <c r="CB1" s="5" t="s">
        <v>35</v>
      </c>
      <c r="CC1" s="7" t="s">
        <v>36</v>
      </c>
      <c r="CD1" s="7" t="s">
        <v>37</v>
      </c>
      <c r="CE1" s="7" t="s">
        <v>38</v>
      </c>
      <c r="CF1" s="7" t="s">
        <v>99</v>
      </c>
      <c r="CG1" s="8" t="s">
        <v>83</v>
      </c>
      <c r="CH1" s="8" t="s">
        <v>85</v>
      </c>
      <c r="CI1" s="8" t="s">
        <v>98</v>
      </c>
      <c r="CJ1" s="8" t="s">
        <v>84</v>
      </c>
      <c r="CK1" s="9" t="s">
        <v>39</v>
      </c>
      <c r="CL1" s="9" t="s">
        <v>40</v>
      </c>
    </row>
    <row r="2" spans="1:90" s="67" customFormat="1" x14ac:dyDescent="0.25">
      <c r="A2" s="41" t="s">
        <v>41</v>
      </c>
      <c r="B2" s="41" t="s">
        <v>42</v>
      </c>
      <c r="C2" s="41" t="s">
        <v>43</v>
      </c>
      <c r="D2" s="41" t="s">
        <v>44</v>
      </c>
      <c r="E2" s="41" t="s">
        <v>45</v>
      </c>
      <c r="F2" s="41" t="s">
        <v>46</v>
      </c>
      <c r="G2" s="42">
        <v>45637</v>
      </c>
      <c r="H2" s="42">
        <v>45638</v>
      </c>
      <c r="I2" s="42">
        <v>45639</v>
      </c>
      <c r="J2" s="42">
        <v>45640</v>
      </c>
      <c r="K2" s="42">
        <v>45641</v>
      </c>
      <c r="L2" s="42">
        <v>45642</v>
      </c>
      <c r="M2" s="42">
        <v>45643</v>
      </c>
      <c r="N2" s="42">
        <v>45644</v>
      </c>
      <c r="O2" s="42">
        <v>45645</v>
      </c>
      <c r="P2" s="42">
        <v>45646</v>
      </c>
      <c r="Q2" s="42">
        <v>45647</v>
      </c>
      <c r="R2" s="42">
        <v>45648</v>
      </c>
      <c r="S2" s="42">
        <v>45649</v>
      </c>
      <c r="T2" s="42">
        <v>45650</v>
      </c>
      <c r="U2" s="42">
        <v>45651</v>
      </c>
      <c r="V2" s="42">
        <v>45652</v>
      </c>
      <c r="W2" s="42">
        <v>45653</v>
      </c>
      <c r="X2" s="42">
        <v>45654</v>
      </c>
      <c r="Y2" s="42">
        <v>45655</v>
      </c>
      <c r="Z2" s="42">
        <v>45656</v>
      </c>
      <c r="AA2" s="42">
        <v>45657</v>
      </c>
      <c r="AB2" s="42">
        <v>45658</v>
      </c>
      <c r="AC2" s="42">
        <v>45659</v>
      </c>
      <c r="AD2" s="42">
        <v>45660</v>
      </c>
      <c r="AE2" s="42">
        <v>45661</v>
      </c>
      <c r="AF2" s="42">
        <v>45662</v>
      </c>
      <c r="AG2" s="42">
        <v>45663</v>
      </c>
      <c r="AH2" s="42">
        <v>45664</v>
      </c>
      <c r="AI2" s="42">
        <v>45665</v>
      </c>
      <c r="AJ2" s="42">
        <v>45666</v>
      </c>
      <c r="AK2" s="42">
        <v>45667</v>
      </c>
      <c r="AL2" s="43" t="s">
        <v>47</v>
      </c>
      <c r="AM2" s="43" t="s">
        <v>48</v>
      </c>
      <c r="AN2" s="43" t="s">
        <v>49</v>
      </c>
      <c r="AO2" s="43" t="s">
        <v>50</v>
      </c>
      <c r="AP2" s="44" t="s">
        <v>51</v>
      </c>
      <c r="AQ2" s="45" t="s">
        <v>52</v>
      </c>
      <c r="AR2" s="46" t="s">
        <v>53</v>
      </c>
      <c r="AS2" s="47" t="s">
        <v>54</v>
      </c>
      <c r="AT2" s="43" t="s">
        <v>55</v>
      </c>
      <c r="AU2" s="48" t="s">
        <v>56</v>
      </c>
      <c r="AV2" s="43" t="s">
        <v>3</v>
      </c>
      <c r="AW2" s="43" t="s">
        <v>4</v>
      </c>
      <c r="AX2" s="49" t="s">
        <v>5</v>
      </c>
      <c r="AY2" s="49" t="s">
        <v>6</v>
      </c>
      <c r="AZ2" s="49" t="s">
        <v>7</v>
      </c>
      <c r="BA2" s="49" t="s">
        <v>8</v>
      </c>
      <c r="BB2" s="49" t="s">
        <v>9</v>
      </c>
      <c r="BC2" s="49" t="s">
        <v>10</v>
      </c>
      <c r="BD2" s="49" t="s">
        <v>11</v>
      </c>
      <c r="BE2" s="49" t="s">
        <v>12</v>
      </c>
      <c r="BF2" s="49" t="s">
        <v>13</v>
      </c>
      <c r="BG2" s="49" t="s">
        <v>14</v>
      </c>
      <c r="BH2" s="49" t="s">
        <v>15</v>
      </c>
      <c r="BI2" s="49" t="s">
        <v>16</v>
      </c>
      <c r="BJ2" s="49" t="s">
        <v>17</v>
      </c>
      <c r="BK2" s="49" t="s">
        <v>18</v>
      </c>
      <c r="BL2" s="49" t="s">
        <v>19</v>
      </c>
      <c r="BM2" s="49" t="s">
        <v>20</v>
      </c>
      <c r="BN2" s="49" t="s">
        <v>21</v>
      </c>
      <c r="BO2" s="49" t="s">
        <v>22</v>
      </c>
      <c r="BP2" s="49" t="s">
        <v>23</v>
      </c>
      <c r="BQ2" s="49" t="s">
        <v>24</v>
      </c>
      <c r="BR2" s="49" t="s">
        <v>25</v>
      </c>
      <c r="BS2" s="49" t="s">
        <v>26</v>
      </c>
      <c r="BT2" s="49" t="s">
        <v>27</v>
      </c>
      <c r="BU2" s="49" t="s">
        <v>28</v>
      </c>
      <c r="BV2" s="49" t="s">
        <v>29</v>
      </c>
      <c r="BW2" s="49" t="s">
        <v>30</v>
      </c>
      <c r="BX2" s="50" t="s">
        <v>31</v>
      </c>
      <c r="BY2" s="49" t="s">
        <v>32</v>
      </c>
      <c r="BZ2" s="49" t="s">
        <v>33</v>
      </c>
      <c r="CA2" s="49" t="s">
        <v>34</v>
      </c>
      <c r="CB2" s="49" t="s">
        <v>35</v>
      </c>
      <c r="CC2" s="49" t="s">
        <v>36</v>
      </c>
      <c r="CD2" s="49" t="s">
        <v>37</v>
      </c>
      <c r="CE2" s="49" t="s">
        <v>38</v>
      </c>
      <c r="CF2" s="49" t="s">
        <v>99</v>
      </c>
      <c r="CG2" s="49" t="s">
        <v>81</v>
      </c>
      <c r="CH2" s="49" t="s">
        <v>82</v>
      </c>
      <c r="CI2" s="49" t="s">
        <v>79</v>
      </c>
      <c r="CJ2" s="49" t="s">
        <v>79</v>
      </c>
      <c r="CK2" s="49" t="s">
        <v>39</v>
      </c>
      <c r="CL2" s="49" t="s">
        <v>40</v>
      </c>
    </row>
    <row r="3" spans="1:90" x14ac:dyDescent="0.25">
      <c r="A3" s="26" t="s">
        <v>72</v>
      </c>
      <c r="B3" s="27" t="s">
        <v>73</v>
      </c>
      <c r="C3" s="27" t="s">
        <v>70</v>
      </c>
      <c r="D3" s="27" t="s">
        <v>74</v>
      </c>
      <c r="E3" s="28">
        <v>45104</v>
      </c>
      <c r="F3" s="27" t="s">
        <v>59</v>
      </c>
      <c r="G3" s="66" t="s">
        <v>60</v>
      </c>
      <c r="H3" s="66" t="s">
        <v>60</v>
      </c>
      <c r="I3" s="66" t="s">
        <v>60</v>
      </c>
      <c r="J3" s="66" t="s">
        <v>60</v>
      </c>
      <c r="K3" s="66" t="s">
        <v>61</v>
      </c>
      <c r="L3" s="66" t="s">
        <v>60</v>
      </c>
      <c r="M3" s="66" t="s">
        <v>60</v>
      </c>
      <c r="N3" s="66" t="s">
        <v>60</v>
      </c>
      <c r="O3" s="66" t="s">
        <v>60</v>
      </c>
      <c r="P3" s="66" t="s">
        <v>60</v>
      </c>
      <c r="Q3" s="66" t="s">
        <v>60</v>
      </c>
      <c r="R3" s="66" t="s">
        <v>61</v>
      </c>
      <c r="S3" s="66" t="s">
        <v>60</v>
      </c>
      <c r="T3" s="66" t="s">
        <v>60</v>
      </c>
      <c r="U3" s="66" t="s">
        <v>60</v>
      </c>
      <c r="V3" s="66" t="s">
        <v>60</v>
      </c>
      <c r="W3" s="66" t="s">
        <v>60</v>
      </c>
      <c r="X3" s="66" t="s">
        <v>60</v>
      </c>
      <c r="Y3" s="66" t="s">
        <v>61</v>
      </c>
      <c r="Z3" s="66" t="s">
        <v>60</v>
      </c>
      <c r="AA3" s="66" t="s">
        <v>103</v>
      </c>
      <c r="AB3" s="66" t="s">
        <v>103</v>
      </c>
      <c r="AC3" s="66" t="s">
        <v>103</v>
      </c>
      <c r="AD3" s="66" t="s">
        <v>103</v>
      </c>
      <c r="AE3" s="66" t="s">
        <v>103</v>
      </c>
      <c r="AF3" s="66" t="s">
        <v>103</v>
      </c>
      <c r="AG3" s="66" t="s">
        <v>103</v>
      </c>
      <c r="AH3" s="66" t="s">
        <v>103</v>
      </c>
      <c r="AI3" s="66" t="s">
        <v>103</v>
      </c>
      <c r="AJ3" s="66" t="s">
        <v>103</v>
      </c>
      <c r="AK3" s="66" t="s">
        <v>103</v>
      </c>
      <c r="AL3" s="10">
        <f>COUNTIF(G3:AK3,"P")</f>
        <v>17</v>
      </c>
      <c r="AM3" s="10">
        <f>COUNTIF(G3:AK3,"HD")/2+COUNTIF(G3:AK3,"HD/L")/2</f>
        <v>0</v>
      </c>
      <c r="AN3" s="10">
        <f>COUNTIF(G3:AK3,"WO")</f>
        <v>3</v>
      </c>
      <c r="AO3" s="10">
        <f>COUNTIF(G3:AK3,"CL")</f>
        <v>0</v>
      </c>
      <c r="AP3" s="11">
        <f>COUNTIF(G3:AK3,"PL")+(COUNTIF(G3:AK3,"HD/L")/2)</f>
        <v>0</v>
      </c>
      <c r="AQ3" s="11">
        <f>COUNTIF(G3:AK3,"HO")</f>
        <v>0</v>
      </c>
      <c r="AR3" s="11">
        <f>COUNTIF(G3:AK3,"CO")</f>
        <v>0</v>
      </c>
      <c r="AS3" s="37">
        <f>COUNTIF(G3:AK3,"LWP")+COUNTIF(G3:AK3,"HD")/2</f>
        <v>0</v>
      </c>
      <c r="AT3" s="12">
        <f>COUNTIF(G3:AK3,"AB")</f>
        <v>0</v>
      </c>
      <c r="AU3" s="13">
        <f>(AL3+AN3+AO3+AP3+AQ3+AR3+AM3)-(AT3*0.5)</f>
        <v>20</v>
      </c>
      <c r="AV3" s="14">
        <v>31</v>
      </c>
      <c r="AW3" s="37"/>
      <c r="AX3" s="35">
        <v>15100</v>
      </c>
      <c r="AY3" s="35">
        <v>0</v>
      </c>
      <c r="AZ3" s="35">
        <v>1250</v>
      </c>
      <c r="BA3" s="35">
        <v>1600</v>
      </c>
      <c r="BB3" s="35">
        <v>1000</v>
      </c>
      <c r="BC3" s="35">
        <v>1050</v>
      </c>
      <c r="BD3" s="35">
        <f>SUM(AX3:BC3)</f>
        <v>20000</v>
      </c>
      <c r="BE3" s="37"/>
      <c r="BF3" s="35">
        <f>(AX3/AV3)*AU3</f>
        <v>9741.9354838709678</v>
      </c>
      <c r="BG3" s="35">
        <f>(AY3/AV3)*AU3</f>
        <v>0</v>
      </c>
      <c r="BH3" s="35">
        <f>(AZ3/AV3)*AU3</f>
        <v>806.45161290322574</v>
      </c>
      <c r="BI3" s="35">
        <f>(BA3/AV3)*AU3</f>
        <v>1032.258064516129</v>
      </c>
      <c r="BJ3" s="35">
        <f>(BB3/AV3)*AU3</f>
        <v>645.16129032258061</v>
      </c>
      <c r="BK3" s="35">
        <f>(BC3/AV3)*AU3</f>
        <v>677.41935483870964</v>
      </c>
      <c r="BL3" s="15">
        <v>0</v>
      </c>
      <c r="BM3" s="37" t="s">
        <v>78</v>
      </c>
      <c r="BN3" s="37"/>
      <c r="BO3" s="15">
        <v>0</v>
      </c>
      <c r="BP3" s="36">
        <f>SUM(BF3:BO3)</f>
        <v>12903.225806451614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20">
        <v>0</v>
      </c>
      <c r="BX3" s="54">
        <f>BP3-(SUM(BQ3:BV3))</f>
        <v>12903.225806451614</v>
      </c>
      <c r="BY3" s="52" t="s">
        <v>62</v>
      </c>
      <c r="BZ3" s="52"/>
      <c r="CA3" s="52"/>
      <c r="CB3" s="52"/>
      <c r="CC3" s="52" t="s">
        <v>75</v>
      </c>
      <c r="CD3" s="52" t="s">
        <v>76</v>
      </c>
      <c r="CE3" s="64" t="s">
        <v>69</v>
      </c>
      <c r="CF3" s="53">
        <v>8692917336</v>
      </c>
      <c r="CG3" s="60">
        <f>CI3-AO3</f>
        <v>7</v>
      </c>
      <c r="CH3" s="60">
        <f>CJ3-AP3</f>
        <v>10</v>
      </c>
      <c r="CI3" s="60">
        <v>7</v>
      </c>
      <c r="CJ3" s="61">
        <v>10</v>
      </c>
      <c r="CK3" s="60"/>
      <c r="CL3" s="68" t="s">
        <v>109</v>
      </c>
    </row>
    <row r="4" spans="1:90" ht="24" x14ac:dyDescent="0.25">
      <c r="A4" s="38" t="s">
        <v>95</v>
      </c>
      <c r="B4" s="38" t="s">
        <v>96</v>
      </c>
      <c r="C4" s="38" t="s">
        <v>80</v>
      </c>
      <c r="D4" s="38" t="s">
        <v>71</v>
      </c>
      <c r="E4" s="39">
        <v>45517</v>
      </c>
      <c r="F4" s="27" t="s">
        <v>59</v>
      </c>
      <c r="G4" s="66" t="s">
        <v>54</v>
      </c>
      <c r="H4" s="66" t="s">
        <v>60</v>
      </c>
      <c r="I4" s="66" t="s">
        <v>60</v>
      </c>
      <c r="J4" s="66" t="s">
        <v>60</v>
      </c>
      <c r="K4" s="66" t="s">
        <v>61</v>
      </c>
      <c r="L4" s="66" t="s">
        <v>60</v>
      </c>
      <c r="M4" s="66" t="s">
        <v>60</v>
      </c>
      <c r="N4" s="66" t="s">
        <v>60</v>
      </c>
      <c r="O4" s="66" t="s">
        <v>94</v>
      </c>
      <c r="P4" s="66" t="s">
        <v>60</v>
      </c>
      <c r="Q4" s="66" t="s">
        <v>60</v>
      </c>
      <c r="R4" s="66" t="s">
        <v>61</v>
      </c>
      <c r="S4" s="66" t="s">
        <v>60</v>
      </c>
      <c r="T4" s="66" t="s">
        <v>60</v>
      </c>
      <c r="U4" s="66" t="s">
        <v>93</v>
      </c>
      <c r="V4" s="66" t="s">
        <v>101</v>
      </c>
      <c r="W4" s="66" t="s">
        <v>101</v>
      </c>
      <c r="X4" s="66" t="s">
        <v>101</v>
      </c>
      <c r="Y4" s="66" t="s">
        <v>102</v>
      </c>
      <c r="Z4" s="66" t="s">
        <v>102</v>
      </c>
      <c r="AA4" s="66" t="s">
        <v>102</v>
      </c>
      <c r="AB4" s="66" t="s">
        <v>102</v>
      </c>
      <c r="AC4" s="66" t="s">
        <v>102</v>
      </c>
      <c r="AD4" s="66" t="s">
        <v>102</v>
      </c>
      <c r="AE4" s="66" t="s">
        <v>102</v>
      </c>
      <c r="AF4" s="66" t="s">
        <v>102</v>
      </c>
      <c r="AG4" s="66" t="s">
        <v>102</v>
      </c>
      <c r="AH4" s="66" t="s">
        <v>102</v>
      </c>
      <c r="AI4" s="66" t="s">
        <v>102</v>
      </c>
      <c r="AJ4" s="66" t="s">
        <v>102</v>
      </c>
      <c r="AK4" s="66" t="s">
        <v>102</v>
      </c>
      <c r="AL4" s="10">
        <f>COUNTIF(G4:AK4,"P")</f>
        <v>10</v>
      </c>
      <c r="AM4" s="10">
        <f>COUNTIF(G4:AK4,"HD")/2+COUNTIF(G4:AK4,"HD/L")/2</f>
        <v>0.5</v>
      </c>
      <c r="AN4" s="10">
        <f>COUNTIF(G4:AK4,"WO")</f>
        <v>2</v>
      </c>
      <c r="AO4" s="10">
        <f>COUNTIF(G4:AK4,"CL")</f>
        <v>0</v>
      </c>
      <c r="AP4" s="11">
        <f>COUNTIF(G4:AK4,"PL")+(COUNTIF(G4:AK4,"HD/L")/2)</f>
        <v>0.5</v>
      </c>
      <c r="AQ4" s="11">
        <f>COUNTIF(G4:AK4,"HO")</f>
        <v>1</v>
      </c>
      <c r="AR4" s="11">
        <f>COUNTIF(G4:AK4,"CO")</f>
        <v>0</v>
      </c>
      <c r="AS4" s="37">
        <f>COUNTIF(G4:AK4,"LWP")+COUNTIF(G4:AK4,"HD")/2</f>
        <v>1</v>
      </c>
      <c r="AT4" s="12">
        <f>COUNTIF(G4:AK4,"AB")</f>
        <v>3</v>
      </c>
      <c r="AU4" s="13">
        <f>(AL4+AN4+AO4+AP4+AQ4+AR4+AM4)-(AT4*0.5)</f>
        <v>12.5</v>
      </c>
      <c r="AV4" s="14">
        <v>31</v>
      </c>
      <c r="AW4" s="57"/>
      <c r="AX4" s="36">
        <v>13500</v>
      </c>
      <c r="AY4" s="36">
        <v>0</v>
      </c>
      <c r="AZ4" s="36">
        <v>0</v>
      </c>
      <c r="BA4" s="36">
        <v>0</v>
      </c>
      <c r="BB4" s="36">
        <v>0</v>
      </c>
      <c r="BC4" s="36">
        <v>0</v>
      </c>
      <c r="BD4" s="56">
        <f>SUM(AX4:BC4)</f>
        <v>13500</v>
      </c>
      <c r="BE4" s="57"/>
      <c r="BF4" s="36">
        <f>(AX4/AV4)*AU4</f>
        <v>5443.5483870967746</v>
      </c>
      <c r="BG4" s="36">
        <f>(AY4/AV4)*AU4</f>
        <v>0</v>
      </c>
      <c r="BH4" s="36">
        <f>(AZ4/AV4)*AU4</f>
        <v>0</v>
      </c>
      <c r="BI4" s="36">
        <f>(BA4/AV4)*AU4</f>
        <v>0</v>
      </c>
      <c r="BJ4" s="36">
        <f>(BB4/AV4)*AU4</f>
        <v>0</v>
      </c>
      <c r="BK4" s="36">
        <f>(BC4/AV4)*AU4</f>
        <v>0</v>
      </c>
      <c r="BL4" s="57"/>
      <c r="BM4" s="57"/>
      <c r="BN4" s="57"/>
      <c r="BO4" s="57"/>
      <c r="BP4" s="36">
        <f>SUM(BF4:BO4)</f>
        <v>5443.5483870967746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36">
        <v>0</v>
      </c>
      <c r="BX4" s="54">
        <f>BP4-(SUM(BQ4:BV4))</f>
        <v>5443.5483870967746</v>
      </c>
      <c r="BY4" s="59" t="s">
        <v>62</v>
      </c>
      <c r="BZ4" s="57"/>
      <c r="CA4" s="57"/>
      <c r="CB4" s="57"/>
      <c r="CC4" s="63" t="s">
        <v>97</v>
      </c>
      <c r="CD4" s="58" t="s">
        <v>100</v>
      </c>
      <c r="CE4" s="62" t="s">
        <v>68</v>
      </c>
      <c r="CF4" s="65">
        <v>9953836219</v>
      </c>
      <c r="CG4" s="60">
        <f>CI4-AO4</f>
        <v>0.5</v>
      </c>
      <c r="CH4" s="60">
        <f>CJ4-AP4</f>
        <v>4</v>
      </c>
      <c r="CI4" s="61">
        <v>0.5</v>
      </c>
      <c r="CJ4" s="61">
        <v>4.5</v>
      </c>
      <c r="CK4" s="57"/>
      <c r="CL4" s="57"/>
    </row>
  </sheetData>
  <mergeCells count="1">
    <mergeCell ref="A1:F1"/>
  </mergeCells>
  <conditionalFormatting sqref="A2 C2:F2">
    <cfRule type="containsText" dxfId="462" priority="463" stopIfTrue="1" operator="containsText" text="co">
      <formula>NOT(ISERROR(SEARCH("co",A2)))</formula>
    </cfRule>
  </conditionalFormatting>
  <conditionalFormatting sqref="AT2:AU2 AL2:AO2">
    <cfRule type="containsText" dxfId="461" priority="460" stopIfTrue="1" operator="containsText" text="LWP">
      <formula>NOT(ISERROR(SEARCH("LWP",AL2)))</formula>
    </cfRule>
    <cfRule type="expression" dxfId="460" priority="461" stopIfTrue="1">
      <formula>RIGHT(AL2,2)="PL"</formula>
    </cfRule>
    <cfRule type="expression" dxfId="459" priority="462" stopIfTrue="1">
      <formula>LEFT(AL2,2)="AB"</formula>
    </cfRule>
  </conditionalFormatting>
  <conditionalFormatting sqref="AT2:AU2 AL2:AO2">
    <cfRule type="containsText" dxfId="458" priority="458" stopIfTrue="1" operator="containsText" text="HO">
      <formula>NOT(ISERROR(SEARCH("HO",AL2)))</formula>
    </cfRule>
    <cfRule type="containsText" dxfId="457" priority="459" stopIfTrue="1" operator="containsText" text="HO">
      <formula>NOT(ISERROR(SEARCH("HO",AL2)))</formula>
    </cfRule>
  </conditionalFormatting>
  <conditionalFormatting sqref="AT2:AU2 AL2:AO2">
    <cfRule type="containsText" dxfId="456" priority="456" stopIfTrue="1" operator="containsText" text="LWP">
      <formula>NOT(ISERROR(SEARCH("LWP",AL2)))</formula>
    </cfRule>
    <cfRule type="containsText" dxfId="455" priority="457" stopIfTrue="1" operator="containsText" text="LWP">
      <formula>NOT(ISERROR(SEARCH("LWP",AL2)))</formula>
    </cfRule>
  </conditionalFormatting>
  <conditionalFormatting sqref="AT2:AU2 AL2:AO2">
    <cfRule type="cellIs" dxfId="454" priority="455" stopIfTrue="1" operator="equal">
      <formula>"AB"</formula>
    </cfRule>
  </conditionalFormatting>
  <conditionalFormatting sqref="AT2:AU2 AL2:AO2">
    <cfRule type="containsText" dxfId="453" priority="454" stopIfTrue="1" operator="containsText" text="WO">
      <formula>NOT(ISERROR(SEARCH("WO",AL2)))</formula>
    </cfRule>
  </conditionalFormatting>
  <conditionalFormatting sqref="AT2:AU2 AL2:AO2">
    <cfRule type="containsText" dxfId="452" priority="453" stopIfTrue="1" operator="containsText" text="co">
      <formula>NOT(ISERROR(SEARCH("co",AL2)))</formula>
    </cfRule>
  </conditionalFormatting>
  <conditionalFormatting sqref="C2">
    <cfRule type="duplicateValues" dxfId="451" priority="452"/>
  </conditionalFormatting>
  <conditionalFormatting sqref="A2">
    <cfRule type="duplicateValues" dxfId="450" priority="451"/>
  </conditionalFormatting>
  <conditionalFormatting sqref="A2">
    <cfRule type="duplicateValues" dxfId="449" priority="450"/>
  </conditionalFormatting>
  <conditionalFormatting sqref="A2">
    <cfRule type="duplicateValues" dxfId="448" priority="449"/>
  </conditionalFormatting>
  <conditionalFormatting sqref="A2">
    <cfRule type="duplicateValues" dxfId="447" priority="448"/>
  </conditionalFormatting>
  <conditionalFormatting sqref="B2">
    <cfRule type="duplicateValues" dxfId="446" priority="447"/>
  </conditionalFormatting>
  <conditionalFormatting sqref="B2">
    <cfRule type="duplicateValues" dxfId="445" priority="446"/>
  </conditionalFormatting>
  <conditionalFormatting sqref="B2">
    <cfRule type="duplicateValues" dxfId="444" priority="445"/>
  </conditionalFormatting>
  <conditionalFormatting sqref="A1">
    <cfRule type="duplicateValues" dxfId="443" priority="444"/>
  </conditionalFormatting>
  <conditionalFormatting sqref="A1">
    <cfRule type="duplicateValues" dxfId="442" priority="443"/>
  </conditionalFormatting>
  <conditionalFormatting sqref="A1">
    <cfRule type="duplicateValues" dxfId="441" priority="442"/>
  </conditionalFormatting>
  <conditionalFormatting sqref="A1">
    <cfRule type="duplicateValues" dxfId="440" priority="441"/>
  </conditionalFormatting>
  <conditionalFormatting sqref="A1">
    <cfRule type="duplicateValues" dxfId="439" priority="440"/>
  </conditionalFormatting>
  <conditionalFormatting sqref="AL1:AO1">
    <cfRule type="containsText" dxfId="438" priority="437" stopIfTrue="1" operator="containsText" text="LWP">
      <formula>NOT(ISERROR(SEARCH("LWP",AL1)))</formula>
    </cfRule>
    <cfRule type="expression" dxfId="437" priority="438" stopIfTrue="1">
      <formula>RIGHT(AL1,2)="PL"</formula>
    </cfRule>
    <cfRule type="expression" dxfId="436" priority="439" stopIfTrue="1">
      <formula>LEFT(AL1,2)="AB"</formula>
    </cfRule>
  </conditionalFormatting>
  <conditionalFormatting sqref="AL1:AO1">
    <cfRule type="containsText" dxfId="435" priority="435" stopIfTrue="1" operator="containsText" text="HO">
      <formula>NOT(ISERROR(SEARCH("HO",AL1)))</formula>
    </cfRule>
    <cfRule type="containsText" dxfId="434" priority="436" stopIfTrue="1" operator="containsText" text="HO">
      <formula>NOT(ISERROR(SEARCH("HO",AL1)))</formula>
    </cfRule>
  </conditionalFormatting>
  <conditionalFormatting sqref="AL1:AO1">
    <cfRule type="containsText" dxfId="433" priority="433" stopIfTrue="1" operator="containsText" text="LWP">
      <formula>NOT(ISERROR(SEARCH("LWP",AL1)))</formula>
    </cfRule>
    <cfRule type="containsText" dxfId="432" priority="434" stopIfTrue="1" operator="containsText" text="LWP">
      <formula>NOT(ISERROR(SEARCH("LWP",AL1)))</formula>
    </cfRule>
  </conditionalFormatting>
  <conditionalFormatting sqref="AL1:AO1">
    <cfRule type="cellIs" dxfId="431" priority="432" stopIfTrue="1" operator="equal">
      <formula>"AB"</formula>
    </cfRule>
  </conditionalFormatting>
  <conditionalFormatting sqref="AL1:AO1">
    <cfRule type="containsText" dxfId="430" priority="431" stopIfTrue="1" operator="containsText" text="WO">
      <formula>NOT(ISERROR(SEARCH("WO",AL1)))</formula>
    </cfRule>
  </conditionalFormatting>
  <conditionalFormatting sqref="AL1:AO1">
    <cfRule type="containsText" dxfId="429" priority="430" stopIfTrue="1" operator="containsText" text="co">
      <formula>NOT(ISERROR(SEARCH("co",AL1)))</formula>
    </cfRule>
  </conditionalFormatting>
  <conditionalFormatting sqref="CC1">
    <cfRule type="duplicateValues" dxfId="428" priority="428"/>
    <cfRule type="duplicateValues" dxfId="427" priority="429"/>
  </conditionalFormatting>
  <conditionalFormatting sqref="CC1">
    <cfRule type="duplicateValues" dxfId="426" priority="427"/>
  </conditionalFormatting>
  <conditionalFormatting sqref="CC2">
    <cfRule type="duplicateValues" dxfId="425" priority="425"/>
    <cfRule type="duplicateValues" dxfId="424" priority="426"/>
  </conditionalFormatting>
  <conditionalFormatting sqref="CC2">
    <cfRule type="duplicateValues" dxfId="423" priority="424"/>
  </conditionalFormatting>
  <conditionalFormatting sqref="AT1:AU1">
    <cfRule type="containsText" dxfId="422" priority="421" stopIfTrue="1" operator="containsText" text="LWP">
      <formula>NOT(ISERROR(SEARCH("LWP",AT1)))</formula>
    </cfRule>
    <cfRule type="expression" dxfId="421" priority="422" stopIfTrue="1">
      <formula>RIGHT(AT1,2)="PL"</formula>
    </cfRule>
    <cfRule type="expression" dxfId="420" priority="423" stopIfTrue="1">
      <formula>LEFT(AT1,2)="AB"</formula>
    </cfRule>
  </conditionalFormatting>
  <conditionalFormatting sqref="AT1:AU1">
    <cfRule type="containsText" dxfId="419" priority="419" stopIfTrue="1" operator="containsText" text="HO">
      <formula>NOT(ISERROR(SEARCH("HO",AT1)))</formula>
    </cfRule>
    <cfRule type="containsText" dxfId="418" priority="420" stopIfTrue="1" operator="containsText" text="HO">
      <formula>NOT(ISERROR(SEARCH("HO",AT1)))</formula>
    </cfRule>
  </conditionalFormatting>
  <conditionalFormatting sqref="AT1:AU1">
    <cfRule type="containsText" dxfId="417" priority="417" stopIfTrue="1" operator="containsText" text="LWP">
      <formula>NOT(ISERROR(SEARCH("LWP",AT1)))</formula>
    </cfRule>
    <cfRule type="containsText" dxfId="416" priority="418" stopIfTrue="1" operator="containsText" text="LWP">
      <formula>NOT(ISERROR(SEARCH("LWP",AT1)))</formula>
    </cfRule>
  </conditionalFormatting>
  <conditionalFormatting sqref="AT1:AU1">
    <cfRule type="cellIs" dxfId="415" priority="416" stopIfTrue="1" operator="equal">
      <formula>"AB"</formula>
    </cfRule>
  </conditionalFormatting>
  <conditionalFormatting sqref="AT1:AU1">
    <cfRule type="containsText" dxfId="414" priority="415" stopIfTrue="1" operator="containsText" text="WO">
      <formula>NOT(ISERROR(SEARCH("WO",AT1)))</formula>
    </cfRule>
  </conditionalFormatting>
  <conditionalFormatting sqref="AT1:AU1">
    <cfRule type="containsText" dxfId="413" priority="414" stopIfTrue="1" operator="containsText" text="co">
      <formula>NOT(ISERROR(SEARCH("co",AT1)))</formula>
    </cfRule>
  </conditionalFormatting>
  <conditionalFormatting sqref="AV3">
    <cfRule type="containsText" dxfId="412" priority="411" stopIfTrue="1" operator="containsText" text="LWP">
      <formula>NOT(ISERROR(SEARCH("LWP",AV3)))</formula>
    </cfRule>
    <cfRule type="expression" dxfId="411" priority="412" stopIfTrue="1">
      <formula>RIGHT(AV3,2)="PL"</formula>
    </cfRule>
    <cfRule type="expression" dxfId="410" priority="413" stopIfTrue="1">
      <formula>LEFT(AV3,2)="AB"</formula>
    </cfRule>
  </conditionalFormatting>
  <conditionalFormatting sqref="AV3">
    <cfRule type="containsText" dxfId="409" priority="409" stopIfTrue="1" operator="containsText" text="HO">
      <formula>NOT(ISERROR(SEARCH("HO",AV3)))</formula>
    </cfRule>
    <cfRule type="containsText" dxfId="408" priority="410" stopIfTrue="1" operator="containsText" text="HO">
      <formula>NOT(ISERROR(SEARCH("HO",AV3)))</formula>
    </cfRule>
  </conditionalFormatting>
  <conditionalFormatting sqref="AV3">
    <cfRule type="containsText" dxfId="407" priority="407" stopIfTrue="1" operator="containsText" text="LWP">
      <formula>NOT(ISERROR(SEARCH("LWP",AV3)))</formula>
    </cfRule>
    <cfRule type="containsText" dxfId="406" priority="408" stopIfTrue="1" operator="containsText" text="LWP">
      <formula>NOT(ISERROR(SEARCH("LWP",AV3)))</formula>
    </cfRule>
  </conditionalFormatting>
  <conditionalFormatting sqref="AV3">
    <cfRule type="cellIs" dxfId="405" priority="406" stopIfTrue="1" operator="equal">
      <formula>"AB"</formula>
    </cfRule>
  </conditionalFormatting>
  <conditionalFormatting sqref="AV3">
    <cfRule type="containsText" dxfId="404" priority="405" stopIfTrue="1" operator="containsText" text="WO">
      <formula>NOT(ISERROR(SEARCH("WO",AV3)))</formula>
    </cfRule>
  </conditionalFormatting>
  <conditionalFormatting sqref="AV3">
    <cfRule type="containsText" dxfId="403" priority="404" stopIfTrue="1" operator="containsText" text="co">
      <formula>NOT(ISERROR(SEARCH("co",AV3)))</formula>
    </cfRule>
  </conditionalFormatting>
  <conditionalFormatting sqref="A3:F3">
    <cfRule type="cellIs" dxfId="402" priority="399" operator="equal">
      <formula>"AB"</formula>
    </cfRule>
    <cfRule type="cellIs" dxfId="401" priority="400" operator="equal">
      <formula>"wo"</formula>
    </cfRule>
    <cfRule type="cellIs" dxfId="400" priority="401" operator="equal">
      <formula>"NJY"</formula>
    </cfRule>
    <cfRule type="cellIs" dxfId="399" priority="402" operator="equal">
      <formula>"lwp"</formula>
    </cfRule>
    <cfRule type="cellIs" dxfId="398" priority="403" operator="equal">
      <formula>"p"</formula>
    </cfRule>
  </conditionalFormatting>
  <conditionalFormatting sqref="A3">
    <cfRule type="duplicateValues" dxfId="397" priority="398"/>
  </conditionalFormatting>
  <conditionalFormatting sqref="AV3">
    <cfRule type="containsText" dxfId="396" priority="395" stopIfTrue="1" operator="containsText" text="LWP">
      <formula>NOT(ISERROR(SEARCH("LWP",AV3)))</formula>
    </cfRule>
    <cfRule type="expression" dxfId="395" priority="396" stopIfTrue="1">
      <formula>RIGHT(AV3,2)="PL"</formula>
    </cfRule>
    <cfRule type="expression" dxfId="394" priority="397" stopIfTrue="1">
      <formula>LEFT(AV3,2)="AB"</formula>
    </cfRule>
  </conditionalFormatting>
  <conditionalFormatting sqref="AV3">
    <cfRule type="containsText" dxfId="393" priority="393" stopIfTrue="1" operator="containsText" text="HO">
      <formula>NOT(ISERROR(SEARCH("HO",AV3)))</formula>
    </cfRule>
    <cfRule type="containsText" dxfId="392" priority="394" stopIfTrue="1" operator="containsText" text="HO">
      <formula>NOT(ISERROR(SEARCH("HO",AV3)))</formula>
    </cfRule>
  </conditionalFormatting>
  <conditionalFormatting sqref="AV3">
    <cfRule type="containsText" dxfId="391" priority="391" stopIfTrue="1" operator="containsText" text="LWP">
      <formula>NOT(ISERROR(SEARCH("LWP",AV3)))</formula>
    </cfRule>
    <cfRule type="containsText" dxfId="390" priority="392" stopIfTrue="1" operator="containsText" text="LWP">
      <formula>NOT(ISERROR(SEARCH("LWP",AV3)))</formula>
    </cfRule>
  </conditionalFormatting>
  <conditionalFormatting sqref="AV3">
    <cfRule type="cellIs" dxfId="389" priority="390" stopIfTrue="1" operator="equal">
      <formula>"AB"</formula>
    </cfRule>
  </conditionalFormatting>
  <conditionalFormatting sqref="AV3">
    <cfRule type="containsText" dxfId="388" priority="389" stopIfTrue="1" operator="containsText" text="WO">
      <formula>NOT(ISERROR(SEARCH("WO",AV3)))</formula>
    </cfRule>
  </conditionalFormatting>
  <conditionalFormatting sqref="AV3">
    <cfRule type="containsText" dxfId="387" priority="388" stopIfTrue="1" operator="containsText" text="co">
      <formula>NOT(ISERROR(SEARCH("co",AV3)))</formula>
    </cfRule>
  </conditionalFormatting>
  <conditionalFormatting sqref="W3:AK3">
    <cfRule type="cellIs" dxfId="386" priority="379" operator="equal">
      <formula>"NJY"</formula>
    </cfRule>
  </conditionalFormatting>
  <conditionalFormatting sqref="W3:AK3">
    <cfRule type="cellIs" dxfId="385" priority="380" operator="equal">
      <formula>"NJY"</formula>
    </cfRule>
  </conditionalFormatting>
  <conditionalFormatting sqref="W3:AK3">
    <cfRule type="cellIs" dxfId="384" priority="381" operator="equal">
      <formula>"p"</formula>
    </cfRule>
  </conditionalFormatting>
  <conditionalFormatting sqref="W3:AK3">
    <cfRule type="cellIs" dxfId="383" priority="382" operator="equal">
      <formula>"Resgin"</formula>
    </cfRule>
  </conditionalFormatting>
  <conditionalFormatting sqref="W3:AK3">
    <cfRule type="cellIs" dxfId="382" priority="383" operator="equal">
      <formula>"CO"</formula>
    </cfRule>
  </conditionalFormatting>
  <conditionalFormatting sqref="W3:AK3">
    <cfRule type="cellIs" dxfId="381" priority="384" operator="equal">
      <formula>"PL"</formula>
    </cfRule>
  </conditionalFormatting>
  <conditionalFormatting sqref="W3:AK3">
    <cfRule type="cellIs" dxfId="380" priority="385" operator="equal">
      <formula>"HO"</formula>
    </cfRule>
  </conditionalFormatting>
  <conditionalFormatting sqref="W3:AK3">
    <cfRule type="cellIs" dxfId="379" priority="386" operator="equal">
      <formula>"LWP"</formula>
    </cfRule>
  </conditionalFormatting>
  <conditionalFormatting sqref="W3:AK3">
    <cfRule type="cellIs" dxfId="378" priority="387" operator="equal">
      <formula>"ho"</formula>
    </cfRule>
  </conditionalFormatting>
  <conditionalFormatting sqref="W3:AK3">
    <cfRule type="cellIs" dxfId="377" priority="370" operator="equal">
      <formula>"abscond"</formula>
    </cfRule>
  </conditionalFormatting>
  <conditionalFormatting sqref="W3:AK3">
    <cfRule type="cellIs" dxfId="376" priority="371" operator="equal">
      <formula>"Resign"</formula>
    </cfRule>
  </conditionalFormatting>
  <conditionalFormatting sqref="W3:AK3">
    <cfRule type="cellIs" dxfId="375" priority="372" operator="equal">
      <formula>"Active"</formula>
    </cfRule>
  </conditionalFormatting>
  <conditionalFormatting sqref="W3:AK3">
    <cfRule type="cellIs" dxfId="374" priority="373" operator="equal">
      <formula>0</formula>
    </cfRule>
  </conditionalFormatting>
  <conditionalFormatting sqref="W3:AK3">
    <cfRule type="cellIs" dxfId="373" priority="374" operator="equal">
      <formula>"AB"</formula>
    </cfRule>
  </conditionalFormatting>
  <conditionalFormatting sqref="W3:AK3">
    <cfRule type="cellIs" dxfId="372" priority="375" operator="equal">
      <formula>"wo"</formula>
    </cfRule>
  </conditionalFormatting>
  <conditionalFormatting sqref="W3:AK3">
    <cfRule type="cellIs" dxfId="371" priority="376" operator="equal">
      <formula>"hd"</formula>
    </cfRule>
  </conditionalFormatting>
  <conditionalFormatting sqref="W3:AK3">
    <cfRule type="cellIs" dxfId="370" priority="377" operator="equal">
      <formula>"Inactive"</formula>
    </cfRule>
  </conditionalFormatting>
  <conditionalFormatting sqref="W3:AK3">
    <cfRule type="cellIs" dxfId="369" priority="378" operator="equal">
      <formula>"HO"</formula>
    </cfRule>
  </conditionalFormatting>
  <conditionalFormatting sqref="W3:AK3">
    <cfRule type="cellIs" dxfId="368" priority="368" operator="equal">
      <formula>"CO"</formula>
    </cfRule>
  </conditionalFormatting>
  <conditionalFormatting sqref="W3:AK3">
    <cfRule type="cellIs" dxfId="367" priority="369" operator="equal">
      <formula>"PL"</formula>
    </cfRule>
  </conditionalFormatting>
  <conditionalFormatting sqref="BY3:CF3">
    <cfRule type="cellIs" dxfId="366" priority="348" operator="equal">
      <formula>"abscond"</formula>
    </cfRule>
  </conditionalFormatting>
  <conditionalFormatting sqref="BY3:CF3">
    <cfRule type="cellIs" dxfId="365" priority="349" operator="equal">
      <formula>"Resign"</formula>
    </cfRule>
  </conditionalFormatting>
  <conditionalFormatting sqref="BY3:CF3">
    <cfRule type="cellIs" dxfId="364" priority="350" operator="equal">
      <formula>"Active"</formula>
    </cfRule>
  </conditionalFormatting>
  <conditionalFormatting sqref="BY3:CF3">
    <cfRule type="cellIs" dxfId="363" priority="351" operator="equal">
      <formula>0</formula>
    </cfRule>
  </conditionalFormatting>
  <conditionalFormatting sqref="BY3:CF3">
    <cfRule type="cellIs" dxfId="362" priority="352" operator="equal">
      <formula>"NJY"</formula>
    </cfRule>
  </conditionalFormatting>
  <conditionalFormatting sqref="BY3:CF3">
    <cfRule type="cellIs" dxfId="361" priority="353" operator="equal">
      <formula>"AB"</formula>
    </cfRule>
  </conditionalFormatting>
  <conditionalFormatting sqref="BY3:CF3">
    <cfRule type="cellIs" dxfId="360" priority="354" operator="equal">
      <formula>"wo"</formula>
    </cfRule>
  </conditionalFormatting>
  <conditionalFormatting sqref="BY3:CF3">
    <cfRule type="cellIs" dxfId="359" priority="355" operator="equal">
      <formula>"NJY"</formula>
    </cfRule>
  </conditionalFormatting>
  <conditionalFormatting sqref="BY3:CF3">
    <cfRule type="cellIs" dxfId="358" priority="356" operator="equal">
      <formula>"p"</formula>
    </cfRule>
  </conditionalFormatting>
  <conditionalFormatting sqref="BY3:CF3">
    <cfRule type="cellIs" dxfId="357" priority="357" operator="equal">
      <formula>"hd"</formula>
    </cfRule>
  </conditionalFormatting>
  <conditionalFormatting sqref="BY3:CF3">
    <cfRule type="cellIs" dxfId="356" priority="358" operator="equal">
      <formula>"Resgin"</formula>
    </cfRule>
  </conditionalFormatting>
  <conditionalFormatting sqref="BY3:CF3">
    <cfRule type="cellIs" dxfId="355" priority="359" operator="equal">
      <formula>"CO"</formula>
    </cfRule>
  </conditionalFormatting>
  <conditionalFormatting sqref="BY3:CF3">
    <cfRule type="cellIs" dxfId="354" priority="360" operator="equal">
      <formula>"PL"</formula>
    </cfRule>
  </conditionalFormatting>
  <conditionalFormatting sqref="BY3:CF3">
    <cfRule type="cellIs" dxfId="353" priority="361" operator="equal">
      <formula>"HO"</formula>
    </cfRule>
  </conditionalFormatting>
  <conditionalFormatting sqref="BY3:CF3">
    <cfRule type="cellIs" dxfId="352" priority="362" operator="equal">
      <formula>"LWP"</formula>
    </cfRule>
  </conditionalFormatting>
  <conditionalFormatting sqref="BY3:CF3">
    <cfRule type="cellIs" dxfId="351" priority="363" operator="equal">
      <formula>"CO"</formula>
    </cfRule>
  </conditionalFormatting>
  <conditionalFormatting sqref="BY3:CF3">
    <cfRule type="cellIs" dxfId="350" priority="364" operator="equal">
      <formula>"PL"</formula>
    </cfRule>
  </conditionalFormatting>
  <conditionalFormatting sqref="BY3:CF3">
    <cfRule type="cellIs" dxfId="349" priority="365" operator="equal">
      <formula>"ho"</formula>
    </cfRule>
  </conditionalFormatting>
  <conditionalFormatting sqref="BY3:CF3">
    <cfRule type="cellIs" dxfId="348" priority="366" operator="equal">
      <formula>"Inactive"</formula>
    </cfRule>
  </conditionalFormatting>
  <conditionalFormatting sqref="BY3:CF3">
    <cfRule type="cellIs" dxfId="347" priority="367" operator="equal">
      <formula>"HO"</formula>
    </cfRule>
  </conditionalFormatting>
  <conditionalFormatting sqref="BE3 BM3:BO3 AW3">
    <cfRule type="containsText" dxfId="346" priority="345" stopIfTrue="1" operator="containsText" text="LWP">
      <formula>NOT(ISERROR(SEARCH("LWP",AW3)))</formula>
    </cfRule>
    <cfRule type="expression" dxfId="345" priority="346" stopIfTrue="1">
      <formula>RIGHT(AW3,2)="PL"</formula>
    </cfRule>
    <cfRule type="expression" dxfId="344" priority="347" stopIfTrue="1">
      <formula>LEFT(AW3,2)="AB"</formula>
    </cfRule>
  </conditionalFormatting>
  <conditionalFormatting sqref="BE3 BM3:BO3 AW3">
    <cfRule type="containsText" dxfId="343" priority="343" stopIfTrue="1" operator="containsText" text="HO">
      <formula>NOT(ISERROR(SEARCH("HO",AW3)))</formula>
    </cfRule>
    <cfRule type="containsText" dxfId="342" priority="344" stopIfTrue="1" operator="containsText" text="HO">
      <formula>NOT(ISERROR(SEARCH("HO",AW3)))</formula>
    </cfRule>
  </conditionalFormatting>
  <conditionalFormatting sqref="BE3 BM3:BO3 AW3">
    <cfRule type="containsText" dxfId="341" priority="341" stopIfTrue="1" operator="containsText" text="LWP">
      <formula>NOT(ISERROR(SEARCH("LWP",AW3)))</formula>
    </cfRule>
    <cfRule type="containsText" dxfId="340" priority="342" stopIfTrue="1" operator="containsText" text="LWP">
      <formula>NOT(ISERROR(SEARCH("LWP",AW3)))</formula>
    </cfRule>
  </conditionalFormatting>
  <conditionalFormatting sqref="BE3 BM3:BO3 AW3">
    <cfRule type="cellIs" dxfId="339" priority="340" stopIfTrue="1" operator="equal">
      <formula>"AB"</formula>
    </cfRule>
  </conditionalFormatting>
  <conditionalFormatting sqref="BE3 BM3:BO3 AW3">
    <cfRule type="containsText" dxfId="338" priority="339" stopIfTrue="1" operator="containsText" text="WO">
      <formula>NOT(ISERROR(SEARCH("WO",AW3)))</formula>
    </cfRule>
  </conditionalFormatting>
  <conditionalFormatting sqref="BE3 BM3:BO3 AW3">
    <cfRule type="containsText" dxfId="337" priority="338" stopIfTrue="1" operator="containsText" text="co">
      <formula>NOT(ISERROR(SEARCH("co",AW3)))</formula>
    </cfRule>
  </conditionalFormatting>
  <conditionalFormatting sqref="BQ3:BV3">
    <cfRule type="containsText" dxfId="336" priority="335" stopIfTrue="1" operator="containsText" text="LWP">
      <formula>NOT(ISERROR(SEARCH("LWP",BQ3)))</formula>
    </cfRule>
    <cfRule type="expression" dxfId="335" priority="336" stopIfTrue="1">
      <formula>RIGHT(BQ3,2)="PL"</formula>
    </cfRule>
    <cfRule type="expression" dxfId="334" priority="337" stopIfTrue="1">
      <formula>LEFT(BQ3,2)="AB"</formula>
    </cfRule>
  </conditionalFormatting>
  <conditionalFormatting sqref="BQ3:BV3">
    <cfRule type="containsText" dxfId="333" priority="333" stopIfTrue="1" operator="containsText" text="HO">
      <formula>NOT(ISERROR(SEARCH("HO",BQ3)))</formula>
    </cfRule>
    <cfRule type="containsText" dxfId="332" priority="334" stopIfTrue="1" operator="containsText" text="HO">
      <formula>NOT(ISERROR(SEARCH("HO",BQ3)))</formula>
    </cfRule>
  </conditionalFormatting>
  <conditionalFormatting sqref="BQ3:BV3">
    <cfRule type="containsText" dxfId="331" priority="331" stopIfTrue="1" operator="containsText" text="LWP">
      <formula>NOT(ISERROR(SEARCH("LWP",BQ3)))</formula>
    </cfRule>
    <cfRule type="containsText" dxfId="330" priority="332" stopIfTrue="1" operator="containsText" text="LWP">
      <formula>NOT(ISERROR(SEARCH("LWP",BQ3)))</formula>
    </cfRule>
  </conditionalFormatting>
  <conditionalFormatting sqref="BQ3:BV3">
    <cfRule type="cellIs" dxfId="329" priority="330" stopIfTrue="1" operator="equal">
      <formula>"AB"</formula>
    </cfRule>
  </conditionalFormatting>
  <conditionalFormatting sqref="BQ3:BV3">
    <cfRule type="containsText" dxfId="328" priority="329" stopIfTrue="1" operator="containsText" text="WO">
      <formula>NOT(ISERROR(SEARCH("WO",BQ3)))</formula>
    </cfRule>
  </conditionalFormatting>
  <conditionalFormatting sqref="BQ3:BV3">
    <cfRule type="containsText" dxfId="327" priority="328" stopIfTrue="1" operator="containsText" text="co">
      <formula>NOT(ISERROR(SEARCH("co",BQ3)))</formula>
    </cfRule>
  </conditionalFormatting>
  <conditionalFormatting sqref="BX3">
    <cfRule type="containsText" dxfId="326" priority="325" stopIfTrue="1" operator="containsText" text="LWP">
      <formula>NOT(ISERROR(SEARCH("LWP",BX3)))</formula>
    </cfRule>
    <cfRule type="expression" dxfId="325" priority="326" stopIfTrue="1">
      <formula>RIGHT(BX3,2)="PL"</formula>
    </cfRule>
    <cfRule type="expression" dxfId="324" priority="327" stopIfTrue="1">
      <formula>LEFT(BX3,2)="AB"</formula>
    </cfRule>
  </conditionalFormatting>
  <conditionalFormatting sqref="BX3">
    <cfRule type="containsText" dxfId="323" priority="323" stopIfTrue="1" operator="containsText" text="HO">
      <formula>NOT(ISERROR(SEARCH("HO",BX3)))</formula>
    </cfRule>
    <cfRule type="containsText" dxfId="322" priority="324" stopIfTrue="1" operator="containsText" text="HO">
      <formula>NOT(ISERROR(SEARCH("HO",BX3)))</formula>
    </cfRule>
  </conditionalFormatting>
  <conditionalFormatting sqref="BX3">
    <cfRule type="containsText" dxfId="321" priority="321" stopIfTrue="1" operator="containsText" text="LWP">
      <formula>NOT(ISERROR(SEARCH("LWP",BX3)))</formula>
    </cfRule>
    <cfRule type="containsText" dxfId="320" priority="322" stopIfTrue="1" operator="containsText" text="LWP">
      <formula>NOT(ISERROR(SEARCH("LWP",BX3)))</formula>
    </cfRule>
  </conditionalFormatting>
  <conditionalFormatting sqref="BX3">
    <cfRule type="cellIs" dxfId="319" priority="320" stopIfTrue="1" operator="equal">
      <formula>"AB"</formula>
    </cfRule>
  </conditionalFormatting>
  <conditionalFormatting sqref="BX3">
    <cfRule type="containsText" dxfId="318" priority="319" stopIfTrue="1" operator="containsText" text="WO">
      <formula>NOT(ISERROR(SEARCH("WO",BX3)))</formula>
    </cfRule>
  </conditionalFormatting>
  <conditionalFormatting sqref="BX3">
    <cfRule type="containsText" dxfId="317" priority="318" stopIfTrue="1" operator="containsText" text="co">
      <formula>NOT(ISERROR(SEARCH("co",BX3)))</formula>
    </cfRule>
  </conditionalFormatting>
  <conditionalFormatting sqref="BW3">
    <cfRule type="containsText" dxfId="316" priority="315" stopIfTrue="1" operator="containsText" text="LWP">
      <formula>NOT(ISERROR(SEARCH("LWP",BW3)))</formula>
    </cfRule>
    <cfRule type="expression" dxfId="315" priority="316" stopIfTrue="1">
      <formula>RIGHT(BW3,2)="PL"</formula>
    </cfRule>
    <cfRule type="expression" dxfId="314" priority="317" stopIfTrue="1">
      <formula>LEFT(BW3,2)="AB"</formula>
    </cfRule>
  </conditionalFormatting>
  <conditionalFormatting sqref="BW3">
    <cfRule type="containsText" dxfId="313" priority="313" stopIfTrue="1" operator="containsText" text="HO">
      <formula>NOT(ISERROR(SEARCH("HO",BW3)))</formula>
    </cfRule>
    <cfRule type="containsText" dxfId="312" priority="314" stopIfTrue="1" operator="containsText" text="HO">
      <formula>NOT(ISERROR(SEARCH("HO",BW3)))</formula>
    </cfRule>
  </conditionalFormatting>
  <conditionalFormatting sqref="BW3">
    <cfRule type="containsText" dxfId="311" priority="311" stopIfTrue="1" operator="containsText" text="LWP">
      <formula>NOT(ISERROR(SEARCH("LWP",BW3)))</formula>
    </cfRule>
    <cfRule type="containsText" dxfId="310" priority="312" stopIfTrue="1" operator="containsText" text="LWP">
      <formula>NOT(ISERROR(SEARCH("LWP",BW3)))</formula>
    </cfRule>
  </conditionalFormatting>
  <conditionalFormatting sqref="BW3">
    <cfRule type="cellIs" dxfId="309" priority="310" stopIfTrue="1" operator="equal">
      <formula>"AB"</formula>
    </cfRule>
  </conditionalFormatting>
  <conditionalFormatting sqref="BW3">
    <cfRule type="containsText" dxfId="308" priority="309" stopIfTrue="1" operator="containsText" text="WO">
      <formula>NOT(ISERROR(SEARCH("WO",BW3)))</formula>
    </cfRule>
  </conditionalFormatting>
  <conditionalFormatting sqref="BW3">
    <cfRule type="containsText" dxfId="307" priority="308" stopIfTrue="1" operator="containsText" text="co">
      <formula>NOT(ISERROR(SEARCH("co",BW3)))</formula>
    </cfRule>
  </conditionalFormatting>
  <conditionalFormatting sqref="U3:V3">
    <cfRule type="cellIs" dxfId="306" priority="288" operator="equal">
      <formula>"abscond"</formula>
    </cfRule>
  </conditionalFormatting>
  <conditionalFormatting sqref="U3:V3">
    <cfRule type="cellIs" dxfId="305" priority="289" operator="equal">
      <formula>"Resign"</formula>
    </cfRule>
  </conditionalFormatting>
  <conditionalFormatting sqref="U3:V3">
    <cfRule type="cellIs" dxfId="304" priority="290" operator="equal">
      <formula>"Active"</formula>
    </cfRule>
  </conditionalFormatting>
  <conditionalFormatting sqref="U3:V3">
    <cfRule type="cellIs" dxfId="303" priority="291" operator="equal">
      <formula>0</formula>
    </cfRule>
  </conditionalFormatting>
  <conditionalFormatting sqref="U3:V3">
    <cfRule type="cellIs" dxfId="302" priority="292" operator="equal">
      <formula>"NJY"</formula>
    </cfRule>
  </conditionalFormatting>
  <conditionalFormatting sqref="U3:V3">
    <cfRule type="cellIs" dxfId="301" priority="293" operator="equal">
      <formula>"AB"</formula>
    </cfRule>
  </conditionalFormatting>
  <conditionalFormatting sqref="U3:V3">
    <cfRule type="cellIs" dxfId="300" priority="294" operator="equal">
      <formula>"wo"</formula>
    </cfRule>
  </conditionalFormatting>
  <conditionalFormatting sqref="U3:V3">
    <cfRule type="cellIs" dxfId="299" priority="295" operator="equal">
      <formula>"NJY"</formula>
    </cfRule>
  </conditionalFormatting>
  <conditionalFormatting sqref="U3:V3">
    <cfRule type="cellIs" dxfId="298" priority="296" operator="equal">
      <formula>"p"</formula>
    </cfRule>
  </conditionalFormatting>
  <conditionalFormatting sqref="U3:V3">
    <cfRule type="cellIs" dxfId="297" priority="297" operator="equal">
      <formula>"hd"</formula>
    </cfRule>
  </conditionalFormatting>
  <conditionalFormatting sqref="U3:V3">
    <cfRule type="cellIs" dxfId="296" priority="298" operator="equal">
      <formula>"Resgin"</formula>
    </cfRule>
  </conditionalFormatting>
  <conditionalFormatting sqref="U3:V3">
    <cfRule type="cellIs" dxfId="295" priority="299" operator="equal">
      <formula>"CO"</formula>
    </cfRule>
  </conditionalFormatting>
  <conditionalFormatting sqref="U3:V3">
    <cfRule type="cellIs" dxfId="294" priority="300" operator="equal">
      <formula>"PL"</formula>
    </cfRule>
  </conditionalFormatting>
  <conditionalFormatting sqref="U3:V3">
    <cfRule type="cellIs" dxfId="293" priority="301" operator="equal">
      <formula>"HO"</formula>
    </cfRule>
  </conditionalFormatting>
  <conditionalFormatting sqref="U3:V3">
    <cfRule type="cellIs" dxfId="292" priority="302" operator="equal">
      <formula>"LWP"</formula>
    </cfRule>
  </conditionalFormatting>
  <conditionalFormatting sqref="U3:V3">
    <cfRule type="cellIs" dxfId="291" priority="303" operator="equal">
      <formula>"CO"</formula>
    </cfRule>
  </conditionalFormatting>
  <conditionalFormatting sqref="U3:V3">
    <cfRule type="cellIs" dxfId="290" priority="304" operator="equal">
      <formula>"PL"</formula>
    </cfRule>
  </conditionalFormatting>
  <conditionalFormatting sqref="U3:V3">
    <cfRule type="cellIs" dxfId="289" priority="305" operator="equal">
      <formula>"ho"</formula>
    </cfRule>
  </conditionalFormatting>
  <conditionalFormatting sqref="U3:V3">
    <cfRule type="cellIs" dxfId="288" priority="306" operator="equal">
      <formula>"Inactive"</formula>
    </cfRule>
  </conditionalFormatting>
  <conditionalFormatting sqref="U3:V3">
    <cfRule type="cellIs" dxfId="287" priority="307" operator="equal">
      <formula>"HO"</formula>
    </cfRule>
  </conditionalFormatting>
  <conditionalFormatting sqref="AL3">
    <cfRule type="cellIs" dxfId="286" priority="219" operator="equal">
      <formula>"NJY"</formula>
    </cfRule>
  </conditionalFormatting>
  <conditionalFormatting sqref="AL3">
    <cfRule type="cellIs" dxfId="285" priority="208" operator="equal">
      <formula>"CO"</formula>
    </cfRule>
  </conditionalFormatting>
  <conditionalFormatting sqref="AL3">
    <cfRule type="cellIs" dxfId="284" priority="209" operator="equal">
      <formula>"PL"</formula>
    </cfRule>
  </conditionalFormatting>
  <conditionalFormatting sqref="P3:T3">
    <cfRule type="cellIs" dxfId="283" priority="268" operator="equal">
      <formula>"abscond"</formula>
    </cfRule>
  </conditionalFormatting>
  <conditionalFormatting sqref="P3:T3">
    <cfRule type="cellIs" dxfId="282" priority="269" operator="equal">
      <formula>"Resign"</formula>
    </cfRule>
  </conditionalFormatting>
  <conditionalFormatting sqref="P3:T3">
    <cfRule type="cellIs" dxfId="281" priority="270" operator="equal">
      <formula>"Active"</formula>
    </cfRule>
  </conditionalFormatting>
  <conditionalFormatting sqref="P3:T3">
    <cfRule type="cellIs" dxfId="280" priority="271" operator="equal">
      <formula>0</formula>
    </cfRule>
  </conditionalFormatting>
  <conditionalFormatting sqref="P3:T3">
    <cfRule type="cellIs" dxfId="279" priority="272" operator="equal">
      <formula>"NJY"</formula>
    </cfRule>
  </conditionalFormatting>
  <conditionalFormatting sqref="P3:T3">
    <cfRule type="cellIs" dxfId="278" priority="273" operator="equal">
      <formula>"AB"</formula>
    </cfRule>
  </conditionalFormatting>
  <conditionalFormatting sqref="P3:T3">
    <cfRule type="cellIs" dxfId="277" priority="274" operator="equal">
      <formula>"wo"</formula>
    </cfRule>
  </conditionalFormatting>
  <conditionalFormatting sqref="P3:T3">
    <cfRule type="cellIs" dxfId="276" priority="275" operator="equal">
      <formula>"NJY"</formula>
    </cfRule>
  </conditionalFormatting>
  <conditionalFormatting sqref="P3:T3">
    <cfRule type="cellIs" dxfId="275" priority="276" operator="equal">
      <formula>"p"</formula>
    </cfRule>
  </conditionalFormatting>
  <conditionalFormatting sqref="P3:T3">
    <cfRule type="cellIs" dxfId="274" priority="277" operator="equal">
      <formula>"hd"</formula>
    </cfRule>
  </conditionalFormatting>
  <conditionalFormatting sqref="P3:T3">
    <cfRule type="cellIs" dxfId="273" priority="278" operator="equal">
      <formula>"Resgin"</formula>
    </cfRule>
  </conditionalFormatting>
  <conditionalFormatting sqref="P3:T3">
    <cfRule type="cellIs" dxfId="272" priority="279" operator="equal">
      <formula>"CO"</formula>
    </cfRule>
  </conditionalFormatting>
  <conditionalFormatting sqref="P3:T3">
    <cfRule type="cellIs" dxfId="271" priority="280" operator="equal">
      <formula>"PL"</formula>
    </cfRule>
  </conditionalFormatting>
  <conditionalFormatting sqref="P3:T3">
    <cfRule type="cellIs" dxfId="270" priority="281" operator="equal">
      <formula>"HO"</formula>
    </cfRule>
  </conditionalFormatting>
  <conditionalFormatting sqref="P3:T3">
    <cfRule type="cellIs" dxfId="269" priority="282" operator="equal">
      <formula>"LWP"</formula>
    </cfRule>
  </conditionalFormatting>
  <conditionalFormatting sqref="P3:T3">
    <cfRule type="cellIs" dxfId="268" priority="283" operator="equal">
      <formula>"CO"</formula>
    </cfRule>
  </conditionalFormatting>
  <conditionalFormatting sqref="P3:T3">
    <cfRule type="cellIs" dxfId="267" priority="284" operator="equal">
      <formula>"PL"</formula>
    </cfRule>
  </conditionalFormatting>
  <conditionalFormatting sqref="P3:T3">
    <cfRule type="cellIs" dxfId="266" priority="285" operator="equal">
      <formula>"ho"</formula>
    </cfRule>
  </conditionalFormatting>
  <conditionalFormatting sqref="P3:T3">
    <cfRule type="cellIs" dxfId="265" priority="286" operator="equal">
      <formula>"Inactive"</formula>
    </cfRule>
  </conditionalFormatting>
  <conditionalFormatting sqref="P3:T3">
    <cfRule type="cellIs" dxfId="264" priority="287" operator="equal">
      <formula>"HO"</formula>
    </cfRule>
  </conditionalFormatting>
  <conditionalFormatting sqref="AV3">
    <cfRule type="containsText" dxfId="263" priority="265" stopIfTrue="1" operator="containsText" text="LWP">
      <formula>NOT(ISERROR(SEARCH("LWP",AV3)))</formula>
    </cfRule>
    <cfRule type="expression" dxfId="262" priority="266" stopIfTrue="1">
      <formula>RIGHT(AV3,2)="PL"</formula>
    </cfRule>
    <cfRule type="expression" dxfId="261" priority="267" stopIfTrue="1">
      <formula>LEFT(AV3,2)="AB"</formula>
    </cfRule>
  </conditionalFormatting>
  <conditionalFormatting sqref="AV3">
    <cfRule type="containsText" dxfId="260" priority="263" stopIfTrue="1" operator="containsText" text="HO">
      <formula>NOT(ISERROR(SEARCH("HO",AV3)))</formula>
    </cfRule>
    <cfRule type="containsText" dxfId="259" priority="264" stopIfTrue="1" operator="containsText" text="HO">
      <formula>NOT(ISERROR(SEARCH("HO",AV3)))</formula>
    </cfRule>
  </conditionalFormatting>
  <conditionalFormatting sqref="AV3">
    <cfRule type="containsText" dxfId="258" priority="261" stopIfTrue="1" operator="containsText" text="LWP">
      <formula>NOT(ISERROR(SEARCH("LWP",AV3)))</formula>
    </cfRule>
    <cfRule type="containsText" dxfId="257" priority="262" stopIfTrue="1" operator="containsText" text="LWP">
      <formula>NOT(ISERROR(SEARCH("LWP",AV3)))</formula>
    </cfRule>
  </conditionalFormatting>
  <conditionalFormatting sqref="AV3">
    <cfRule type="cellIs" dxfId="256" priority="260" stopIfTrue="1" operator="equal">
      <formula>"AB"</formula>
    </cfRule>
  </conditionalFormatting>
  <conditionalFormatting sqref="AV3">
    <cfRule type="containsText" dxfId="255" priority="259" stopIfTrue="1" operator="containsText" text="WO">
      <formula>NOT(ISERROR(SEARCH("WO",AV3)))</formula>
    </cfRule>
  </conditionalFormatting>
  <conditionalFormatting sqref="AV3">
    <cfRule type="containsText" dxfId="254" priority="258" stopIfTrue="1" operator="containsText" text="co">
      <formula>NOT(ISERROR(SEARCH("co",AV3)))</formula>
    </cfRule>
  </conditionalFormatting>
  <conditionalFormatting sqref="AV3">
    <cfRule type="containsText" dxfId="253" priority="255" stopIfTrue="1" operator="containsText" text="LWP">
      <formula>NOT(ISERROR(SEARCH("LWP",AV3)))</formula>
    </cfRule>
    <cfRule type="expression" dxfId="252" priority="256" stopIfTrue="1">
      <formula>RIGHT(AV3,2)="PL"</formula>
    </cfRule>
    <cfRule type="expression" dxfId="251" priority="257" stopIfTrue="1">
      <formula>LEFT(AV3,2)="AB"</formula>
    </cfRule>
  </conditionalFormatting>
  <conditionalFormatting sqref="AV3">
    <cfRule type="containsText" dxfId="250" priority="253" stopIfTrue="1" operator="containsText" text="HO">
      <formula>NOT(ISERROR(SEARCH("HO",AV3)))</formula>
    </cfRule>
    <cfRule type="containsText" dxfId="249" priority="254" stopIfTrue="1" operator="containsText" text="HO">
      <formula>NOT(ISERROR(SEARCH("HO",AV3)))</formula>
    </cfRule>
  </conditionalFormatting>
  <conditionalFormatting sqref="AV3">
    <cfRule type="containsText" dxfId="248" priority="251" stopIfTrue="1" operator="containsText" text="LWP">
      <formula>NOT(ISERROR(SEARCH("LWP",AV3)))</formula>
    </cfRule>
    <cfRule type="containsText" dxfId="247" priority="252" stopIfTrue="1" operator="containsText" text="LWP">
      <formula>NOT(ISERROR(SEARCH("LWP",AV3)))</formula>
    </cfRule>
  </conditionalFormatting>
  <conditionalFormatting sqref="AV3">
    <cfRule type="cellIs" dxfId="246" priority="250" stopIfTrue="1" operator="equal">
      <formula>"AB"</formula>
    </cfRule>
  </conditionalFormatting>
  <conditionalFormatting sqref="AV3">
    <cfRule type="containsText" dxfId="245" priority="249" stopIfTrue="1" operator="containsText" text="WO">
      <formula>NOT(ISERROR(SEARCH("WO",AV3)))</formula>
    </cfRule>
  </conditionalFormatting>
  <conditionalFormatting sqref="AV3">
    <cfRule type="containsText" dxfId="244" priority="248" stopIfTrue="1" operator="containsText" text="co">
      <formula>NOT(ISERROR(SEARCH("co",AV3)))</formula>
    </cfRule>
  </conditionalFormatting>
  <conditionalFormatting sqref="AU3">
    <cfRule type="containsText" dxfId="243" priority="245" stopIfTrue="1" operator="containsText" text="LWP">
      <formula>NOT(ISERROR(SEARCH("LWP",AU3)))</formula>
    </cfRule>
    <cfRule type="expression" dxfId="242" priority="246" stopIfTrue="1">
      <formula>RIGHT(AU3,2)="PL"</formula>
    </cfRule>
    <cfRule type="expression" dxfId="241" priority="247" stopIfTrue="1">
      <formula>LEFT(AU3,2)="AB"</formula>
    </cfRule>
  </conditionalFormatting>
  <conditionalFormatting sqref="AU3">
    <cfRule type="containsText" dxfId="240" priority="243" stopIfTrue="1" operator="containsText" text="HO">
      <formula>NOT(ISERROR(SEARCH("HO",AU3)))</formula>
    </cfRule>
    <cfRule type="containsText" dxfId="239" priority="244" stopIfTrue="1" operator="containsText" text="HO">
      <formula>NOT(ISERROR(SEARCH("HO",AU3)))</formula>
    </cfRule>
  </conditionalFormatting>
  <conditionalFormatting sqref="AU3">
    <cfRule type="containsText" dxfId="238" priority="241" stopIfTrue="1" operator="containsText" text="LWP">
      <formula>NOT(ISERROR(SEARCH("LWP",AU3)))</formula>
    </cfRule>
    <cfRule type="containsText" dxfId="237" priority="242" stopIfTrue="1" operator="containsText" text="LWP">
      <formula>NOT(ISERROR(SEARCH("LWP",AU3)))</formula>
    </cfRule>
  </conditionalFormatting>
  <conditionalFormatting sqref="AU3">
    <cfRule type="cellIs" dxfId="236" priority="240" stopIfTrue="1" operator="equal">
      <formula>"AB"</formula>
    </cfRule>
  </conditionalFormatting>
  <conditionalFormatting sqref="AU3">
    <cfRule type="containsText" dxfId="235" priority="239" stopIfTrue="1" operator="containsText" text="WO">
      <formula>NOT(ISERROR(SEARCH("WO",AU3)))</formula>
    </cfRule>
  </conditionalFormatting>
  <conditionalFormatting sqref="AU3">
    <cfRule type="containsText" dxfId="234" priority="238" stopIfTrue="1" operator="containsText" text="co">
      <formula>NOT(ISERROR(SEARCH("co",AU3)))</formula>
    </cfRule>
  </conditionalFormatting>
  <conditionalFormatting sqref="AL3:AQ3">
    <cfRule type="containsText" dxfId="233" priority="235" stopIfTrue="1" operator="containsText" text="LWP">
      <formula>NOT(ISERROR(SEARCH("LWP",AL3)))</formula>
    </cfRule>
    <cfRule type="expression" dxfId="232" priority="236" stopIfTrue="1">
      <formula>RIGHT(AL3,2)="PL"</formula>
    </cfRule>
    <cfRule type="expression" dxfId="231" priority="237" stopIfTrue="1">
      <formula>LEFT(AL3,2)="AB"</formula>
    </cfRule>
  </conditionalFormatting>
  <conditionalFormatting sqref="AL3:AQ3">
    <cfRule type="containsText" dxfId="230" priority="233" stopIfTrue="1" operator="containsText" text="HO">
      <formula>NOT(ISERROR(SEARCH("HO",AL3)))</formula>
    </cfRule>
    <cfRule type="containsText" dxfId="229" priority="234" stopIfTrue="1" operator="containsText" text="HO">
      <formula>NOT(ISERROR(SEARCH("HO",AL3)))</formula>
    </cfRule>
  </conditionalFormatting>
  <conditionalFormatting sqref="AL3:AQ3">
    <cfRule type="containsText" dxfId="228" priority="231" stopIfTrue="1" operator="containsText" text="LWP">
      <formula>NOT(ISERROR(SEARCH("LWP",AL3)))</formula>
    </cfRule>
    <cfRule type="containsText" dxfId="227" priority="232" stopIfTrue="1" operator="containsText" text="LWP">
      <formula>NOT(ISERROR(SEARCH("LWP",AL3)))</formula>
    </cfRule>
  </conditionalFormatting>
  <conditionalFormatting sqref="AL3:AQ3">
    <cfRule type="cellIs" dxfId="226" priority="230" stopIfTrue="1" operator="equal">
      <formula>"AB"</formula>
    </cfRule>
  </conditionalFormatting>
  <conditionalFormatting sqref="AL3:AQ3">
    <cfRule type="containsText" dxfId="225" priority="229" stopIfTrue="1" operator="containsText" text="WO">
      <formula>NOT(ISERROR(SEARCH("WO",AL3)))</formula>
    </cfRule>
  </conditionalFormatting>
  <conditionalFormatting sqref="AL3:AQ3">
    <cfRule type="containsText" dxfId="224" priority="228" stopIfTrue="1" operator="containsText" text="co">
      <formula>NOT(ISERROR(SEARCH("co",AL3)))</formula>
    </cfRule>
  </conditionalFormatting>
  <conditionalFormatting sqref="AL3">
    <cfRule type="cellIs" dxfId="223" priority="220" operator="equal">
      <formula>"NJY"</formula>
    </cfRule>
  </conditionalFormatting>
  <conditionalFormatting sqref="AL3">
    <cfRule type="cellIs" dxfId="222" priority="221" operator="equal">
      <formula>"p"</formula>
    </cfRule>
  </conditionalFormatting>
  <conditionalFormatting sqref="AL3">
    <cfRule type="cellIs" dxfId="221" priority="222" operator="equal">
      <formula>"Resgin"</formula>
    </cfRule>
  </conditionalFormatting>
  <conditionalFormatting sqref="AL3">
    <cfRule type="cellIs" dxfId="220" priority="223" operator="equal">
      <formula>"CO"</formula>
    </cfRule>
  </conditionalFormatting>
  <conditionalFormatting sqref="AL3">
    <cfRule type="cellIs" dxfId="219" priority="224" operator="equal">
      <formula>"PL"</formula>
    </cfRule>
  </conditionalFormatting>
  <conditionalFormatting sqref="AL3">
    <cfRule type="cellIs" dxfId="218" priority="225" operator="equal">
      <formula>"HO"</formula>
    </cfRule>
  </conditionalFormatting>
  <conditionalFormatting sqref="AL3">
    <cfRule type="cellIs" dxfId="217" priority="226" operator="equal">
      <formula>"LWP"</formula>
    </cfRule>
  </conditionalFormatting>
  <conditionalFormatting sqref="AL3">
    <cfRule type="cellIs" dxfId="216" priority="227" operator="equal">
      <formula>"ho"</formula>
    </cfRule>
  </conditionalFormatting>
  <conditionalFormatting sqref="AL3">
    <cfRule type="cellIs" dxfId="215" priority="210" operator="equal">
      <formula>"abscond"</formula>
    </cfRule>
  </conditionalFormatting>
  <conditionalFormatting sqref="AL3">
    <cfRule type="cellIs" dxfId="214" priority="211" operator="equal">
      <formula>"Resign"</formula>
    </cfRule>
  </conditionalFormatting>
  <conditionalFormatting sqref="AL3">
    <cfRule type="cellIs" dxfId="213" priority="212" operator="equal">
      <formula>"Active"</formula>
    </cfRule>
  </conditionalFormatting>
  <conditionalFormatting sqref="AL3">
    <cfRule type="cellIs" dxfId="212" priority="213" operator="equal">
      <formula>0</formula>
    </cfRule>
  </conditionalFormatting>
  <conditionalFormatting sqref="AL3">
    <cfRule type="cellIs" dxfId="211" priority="214" operator="equal">
      <formula>"AB"</formula>
    </cfRule>
  </conditionalFormatting>
  <conditionalFormatting sqref="AL3">
    <cfRule type="cellIs" dxfId="210" priority="215" operator="equal">
      <formula>"wo"</formula>
    </cfRule>
  </conditionalFormatting>
  <conditionalFormatting sqref="AL3">
    <cfRule type="cellIs" dxfId="209" priority="216" operator="equal">
      <formula>"hd"</formula>
    </cfRule>
  </conditionalFormatting>
  <conditionalFormatting sqref="AL3">
    <cfRule type="cellIs" dxfId="208" priority="217" operator="equal">
      <formula>"Inactive"</formula>
    </cfRule>
  </conditionalFormatting>
  <conditionalFormatting sqref="AL3">
    <cfRule type="cellIs" dxfId="207" priority="218" operator="equal">
      <formula>"HO"</formula>
    </cfRule>
  </conditionalFormatting>
  <conditionalFormatting sqref="AN3:AQ3">
    <cfRule type="cellIs" dxfId="206" priority="188" operator="equal">
      <formula>"abscond"</formula>
    </cfRule>
  </conditionalFormatting>
  <conditionalFormatting sqref="AN3:AQ3">
    <cfRule type="cellIs" dxfId="205" priority="189" operator="equal">
      <formula>"Resign"</formula>
    </cfRule>
  </conditionalFormatting>
  <conditionalFormatting sqref="AN3:AQ3">
    <cfRule type="cellIs" dxfId="204" priority="190" operator="equal">
      <formula>"Active"</formula>
    </cfRule>
  </conditionalFormatting>
  <conditionalFormatting sqref="AN3:AQ3">
    <cfRule type="cellIs" dxfId="203" priority="191" operator="equal">
      <formula>0</formula>
    </cfRule>
  </conditionalFormatting>
  <conditionalFormatting sqref="AN3:AQ3">
    <cfRule type="cellIs" dxfId="202" priority="192" operator="equal">
      <formula>"NJY"</formula>
    </cfRule>
  </conditionalFormatting>
  <conditionalFormatting sqref="AN3:AQ3">
    <cfRule type="cellIs" dxfId="201" priority="193" operator="equal">
      <formula>"AB"</formula>
    </cfRule>
  </conditionalFormatting>
  <conditionalFormatting sqref="AN3:AQ3">
    <cfRule type="cellIs" dxfId="200" priority="194" operator="equal">
      <formula>"wo"</formula>
    </cfRule>
  </conditionalFormatting>
  <conditionalFormatting sqref="AN3:AQ3">
    <cfRule type="cellIs" dxfId="199" priority="195" operator="equal">
      <formula>"NJY"</formula>
    </cfRule>
  </conditionalFormatting>
  <conditionalFormatting sqref="AN3:AQ3">
    <cfRule type="cellIs" dxfId="198" priority="196" operator="equal">
      <formula>"p"</formula>
    </cfRule>
  </conditionalFormatting>
  <conditionalFormatting sqref="AN3:AQ3">
    <cfRule type="cellIs" dxfId="197" priority="197" operator="equal">
      <formula>"hd"</formula>
    </cfRule>
  </conditionalFormatting>
  <conditionalFormatting sqref="AN3:AQ3">
    <cfRule type="cellIs" dxfId="196" priority="198" operator="equal">
      <formula>"Resgin"</formula>
    </cfRule>
  </conditionalFormatting>
  <conditionalFormatting sqref="AN3:AQ3">
    <cfRule type="cellIs" dxfId="195" priority="199" operator="equal">
      <formula>"CO"</formula>
    </cfRule>
  </conditionalFormatting>
  <conditionalFormatting sqref="AN3:AQ3">
    <cfRule type="cellIs" dxfId="194" priority="200" operator="equal">
      <formula>"PL"</formula>
    </cfRule>
  </conditionalFormatting>
  <conditionalFormatting sqref="AN3:AQ3">
    <cfRule type="cellIs" dxfId="193" priority="201" operator="equal">
      <formula>"HO"</formula>
    </cfRule>
  </conditionalFormatting>
  <conditionalFormatting sqref="AN3:AQ3">
    <cfRule type="cellIs" dxfId="192" priority="202" operator="equal">
      <formula>"LWP"</formula>
    </cfRule>
  </conditionalFormatting>
  <conditionalFormatting sqref="AN3:AQ3">
    <cfRule type="cellIs" dxfId="191" priority="203" operator="equal">
      <formula>"CO"</formula>
    </cfRule>
  </conditionalFormatting>
  <conditionalFormatting sqref="AN3:AQ3">
    <cfRule type="cellIs" dxfId="190" priority="204" operator="equal">
      <formula>"PL"</formula>
    </cfRule>
  </conditionalFormatting>
  <conditionalFormatting sqref="AN3:AQ3">
    <cfRule type="cellIs" dxfId="189" priority="205" operator="equal">
      <formula>"ho"</formula>
    </cfRule>
  </conditionalFormatting>
  <conditionalFormatting sqref="AN3:AQ3">
    <cfRule type="cellIs" dxfId="188" priority="206" operator="equal">
      <formula>"Inactive"</formula>
    </cfRule>
  </conditionalFormatting>
  <conditionalFormatting sqref="AN3:AQ3">
    <cfRule type="cellIs" dxfId="187" priority="207" operator="equal">
      <formula>"HO"</formula>
    </cfRule>
  </conditionalFormatting>
  <conditionalFormatting sqref="AM3">
    <cfRule type="containsText" dxfId="186" priority="185" stopIfTrue="1" operator="containsText" text="LWP">
      <formula>NOT(ISERROR(SEARCH("LWP",AM3)))</formula>
    </cfRule>
    <cfRule type="expression" dxfId="185" priority="186" stopIfTrue="1">
      <formula>RIGHT(AM3,2)="PL"</formula>
    </cfRule>
    <cfRule type="expression" dxfId="184" priority="187" stopIfTrue="1">
      <formula>LEFT(AM3,2)="AB"</formula>
    </cfRule>
  </conditionalFormatting>
  <conditionalFormatting sqref="AM3">
    <cfRule type="containsText" dxfId="183" priority="183" stopIfTrue="1" operator="containsText" text="HO">
      <formula>NOT(ISERROR(SEARCH("HO",AM3)))</formula>
    </cfRule>
    <cfRule type="containsText" dxfId="182" priority="184" stopIfTrue="1" operator="containsText" text="HO">
      <formula>NOT(ISERROR(SEARCH("HO",AM3)))</formula>
    </cfRule>
  </conditionalFormatting>
  <conditionalFormatting sqref="AM3">
    <cfRule type="containsText" dxfId="181" priority="181" stopIfTrue="1" operator="containsText" text="LWP">
      <formula>NOT(ISERROR(SEARCH("LWP",AM3)))</formula>
    </cfRule>
    <cfRule type="containsText" dxfId="180" priority="182" stopIfTrue="1" operator="containsText" text="LWP">
      <formula>NOT(ISERROR(SEARCH("LWP",AM3)))</formula>
    </cfRule>
  </conditionalFormatting>
  <conditionalFormatting sqref="AM3">
    <cfRule type="cellIs" dxfId="179" priority="180" stopIfTrue="1" operator="equal">
      <formula>"AB"</formula>
    </cfRule>
  </conditionalFormatting>
  <conditionalFormatting sqref="AM3">
    <cfRule type="containsText" dxfId="178" priority="179" stopIfTrue="1" operator="containsText" text="WO">
      <formula>NOT(ISERROR(SEARCH("WO",AM3)))</formula>
    </cfRule>
  </conditionalFormatting>
  <conditionalFormatting sqref="AM3">
    <cfRule type="containsText" dxfId="177" priority="178" stopIfTrue="1" operator="containsText" text="co">
      <formula>NOT(ISERROR(SEARCH("co",AM3)))</formula>
    </cfRule>
  </conditionalFormatting>
  <conditionalFormatting sqref="AR3">
    <cfRule type="containsText" dxfId="176" priority="175" stopIfTrue="1" operator="containsText" text="LWP">
      <formula>NOT(ISERROR(SEARCH("LWP",AR3)))</formula>
    </cfRule>
    <cfRule type="expression" dxfId="175" priority="176" stopIfTrue="1">
      <formula>RIGHT(AR3,2)="PL"</formula>
    </cfRule>
    <cfRule type="expression" dxfId="174" priority="177" stopIfTrue="1">
      <formula>LEFT(AR3,2)="AB"</formula>
    </cfRule>
  </conditionalFormatting>
  <conditionalFormatting sqref="AR3">
    <cfRule type="containsText" dxfId="173" priority="173" stopIfTrue="1" operator="containsText" text="HO">
      <formula>NOT(ISERROR(SEARCH("HO",AR3)))</formula>
    </cfRule>
    <cfRule type="containsText" dxfId="172" priority="174" stopIfTrue="1" operator="containsText" text="HO">
      <formula>NOT(ISERROR(SEARCH("HO",AR3)))</formula>
    </cfRule>
  </conditionalFormatting>
  <conditionalFormatting sqref="AR3">
    <cfRule type="containsText" dxfId="171" priority="171" stopIfTrue="1" operator="containsText" text="LWP">
      <formula>NOT(ISERROR(SEARCH("LWP",AR3)))</formula>
    </cfRule>
    <cfRule type="containsText" dxfId="170" priority="172" stopIfTrue="1" operator="containsText" text="LWP">
      <formula>NOT(ISERROR(SEARCH("LWP",AR3)))</formula>
    </cfRule>
  </conditionalFormatting>
  <conditionalFormatting sqref="AR3">
    <cfRule type="cellIs" dxfId="169" priority="170" stopIfTrue="1" operator="equal">
      <formula>"AB"</formula>
    </cfRule>
  </conditionalFormatting>
  <conditionalFormatting sqref="AR3">
    <cfRule type="containsText" dxfId="168" priority="169" stopIfTrue="1" operator="containsText" text="WO">
      <formula>NOT(ISERROR(SEARCH("WO",AR3)))</formula>
    </cfRule>
  </conditionalFormatting>
  <conditionalFormatting sqref="AR3">
    <cfRule type="containsText" dxfId="167" priority="168" stopIfTrue="1" operator="containsText" text="co">
      <formula>NOT(ISERROR(SEARCH("co",AR3)))</formula>
    </cfRule>
  </conditionalFormatting>
  <conditionalFormatting sqref="AR3">
    <cfRule type="containsText" dxfId="166" priority="165" stopIfTrue="1" operator="containsText" text="LWP">
      <formula>NOT(ISERROR(SEARCH("LWP",AR3)))</formula>
    </cfRule>
    <cfRule type="expression" dxfId="165" priority="166" stopIfTrue="1">
      <formula>RIGHT(AR3,2)="PL"</formula>
    </cfRule>
    <cfRule type="expression" dxfId="164" priority="167" stopIfTrue="1">
      <formula>LEFT(AR3,2)="AB"</formula>
    </cfRule>
  </conditionalFormatting>
  <conditionalFormatting sqref="AR3">
    <cfRule type="containsText" dxfId="163" priority="163" stopIfTrue="1" operator="containsText" text="HO">
      <formula>NOT(ISERROR(SEARCH("HO",AR3)))</formula>
    </cfRule>
    <cfRule type="containsText" dxfId="162" priority="164" stopIfTrue="1" operator="containsText" text="HO">
      <formula>NOT(ISERROR(SEARCH("HO",AR3)))</formula>
    </cfRule>
  </conditionalFormatting>
  <conditionalFormatting sqref="AR3">
    <cfRule type="containsText" dxfId="161" priority="161" stopIfTrue="1" operator="containsText" text="LWP">
      <formula>NOT(ISERROR(SEARCH("LWP",AR3)))</formula>
    </cfRule>
    <cfRule type="containsText" dxfId="160" priority="162" stopIfTrue="1" operator="containsText" text="LWP">
      <formula>NOT(ISERROR(SEARCH("LWP",AR3)))</formula>
    </cfRule>
  </conditionalFormatting>
  <conditionalFormatting sqref="AR3">
    <cfRule type="cellIs" dxfId="159" priority="160" stopIfTrue="1" operator="equal">
      <formula>"AB"</formula>
    </cfRule>
  </conditionalFormatting>
  <conditionalFormatting sqref="AR3">
    <cfRule type="containsText" dxfId="158" priority="159" stopIfTrue="1" operator="containsText" text="WO">
      <formula>NOT(ISERROR(SEARCH("WO",AR3)))</formula>
    </cfRule>
  </conditionalFormatting>
  <conditionalFormatting sqref="AR3">
    <cfRule type="containsText" dxfId="157" priority="158" stopIfTrue="1" operator="containsText" text="co">
      <formula>NOT(ISERROR(SEARCH("co",AR3)))</formula>
    </cfRule>
  </conditionalFormatting>
  <conditionalFormatting sqref="AS3">
    <cfRule type="containsText" dxfId="156" priority="155" stopIfTrue="1" operator="containsText" text="LWP">
      <formula>NOT(ISERROR(SEARCH("LWP",AS3)))</formula>
    </cfRule>
    <cfRule type="expression" dxfId="155" priority="156" stopIfTrue="1">
      <formula>RIGHT(AS3,2)="PL"</formula>
    </cfRule>
    <cfRule type="expression" dxfId="154" priority="157" stopIfTrue="1">
      <formula>LEFT(AS3,2)="AB"</formula>
    </cfRule>
  </conditionalFormatting>
  <conditionalFormatting sqref="AS3">
    <cfRule type="containsText" dxfId="153" priority="153" stopIfTrue="1" operator="containsText" text="HO">
      <formula>NOT(ISERROR(SEARCH("HO",AS3)))</formula>
    </cfRule>
    <cfRule type="containsText" dxfId="152" priority="154" stopIfTrue="1" operator="containsText" text="HO">
      <formula>NOT(ISERROR(SEARCH("HO",AS3)))</formula>
    </cfRule>
  </conditionalFormatting>
  <conditionalFormatting sqref="AS3">
    <cfRule type="containsText" dxfId="151" priority="151" stopIfTrue="1" operator="containsText" text="LWP">
      <formula>NOT(ISERROR(SEARCH("LWP",AS3)))</formula>
    </cfRule>
    <cfRule type="containsText" dxfId="150" priority="152" stopIfTrue="1" operator="containsText" text="LWP">
      <formula>NOT(ISERROR(SEARCH("LWP",AS3)))</formula>
    </cfRule>
  </conditionalFormatting>
  <conditionalFormatting sqref="AS3">
    <cfRule type="cellIs" dxfId="149" priority="150" stopIfTrue="1" operator="equal">
      <formula>"AB"</formula>
    </cfRule>
  </conditionalFormatting>
  <conditionalFormatting sqref="AS3">
    <cfRule type="containsText" dxfId="148" priority="149" stopIfTrue="1" operator="containsText" text="WO">
      <formula>NOT(ISERROR(SEARCH("WO",AS3)))</formula>
    </cfRule>
  </conditionalFormatting>
  <conditionalFormatting sqref="AS3">
    <cfRule type="containsText" dxfId="147" priority="148" stopIfTrue="1" operator="containsText" text="co">
      <formula>NOT(ISERROR(SEARCH("co",AS3)))</formula>
    </cfRule>
  </conditionalFormatting>
  <conditionalFormatting sqref="AT3">
    <cfRule type="containsText" dxfId="146" priority="145" stopIfTrue="1" operator="containsText" text="LWP">
      <formula>NOT(ISERROR(SEARCH("LWP",AT3)))</formula>
    </cfRule>
    <cfRule type="expression" dxfId="145" priority="146" stopIfTrue="1">
      <formula>RIGHT(AT3,2)="PL"</formula>
    </cfRule>
    <cfRule type="expression" dxfId="144" priority="147" stopIfTrue="1">
      <formula>LEFT(AT3,2)="AB"</formula>
    </cfRule>
  </conditionalFormatting>
  <conditionalFormatting sqref="AT3">
    <cfRule type="containsText" dxfId="143" priority="143" stopIfTrue="1" operator="containsText" text="HO">
      <formula>NOT(ISERROR(SEARCH("HO",AT3)))</formula>
    </cfRule>
    <cfRule type="containsText" dxfId="142" priority="144" stopIfTrue="1" operator="containsText" text="HO">
      <formula>NOT(ISERROR(SEARCH("HO",AT3)))</formula>
    </cfRule>
  </conditionalFormatting>
  <conditionalFormatting sqref="AT3">
    <cfRule type="containsText" dxfId="141" priority="141" stopIfTrue="1" operator="containsText" text="LWP">
      <formula>NOT(ISERROR(SEARCH("LWP",AT3)))</formula>
    </cfRule>
    <cfRule type="containsText" dxfId="140" priority="142" stopIfTrue="1" operator="containsText" text="LWP">
      <formula>NOT(ISERROR(SEARCH("LWP",AT3)))</formula>
    </cfRule>
  </conditionalFormatting>
  <conditionalFormatting sqref="AT3">
    <cfRule type="cellIs" dxfId="139" priority="140" stopIfTrue="1" operator="equal">
      <formula>"AB"</formula>
    </cfRule>
  </conditionalFormatting>
  <conditionalFormatting sqref="AT3">
    <cfRule type="containsText" dxfId="138" priority="139" stopIfTrue="1" operator="containsText" text="WO">
      <formula>NOT(ISERROR(SEARCH("WO",AT3)))</formula>
    </cfRule>
  </conditionalFormatting>
  <conditionalFormatting sqref="AT3">
    <cfRule type="containsText" dxfId="137" priority="138" stopIfTrue="1" operator="containsText" text="co">
      <formula>NOT(ISERROR(SEARCH("co",AT3)))</formula>
    </cfRule>
  </conditionalFormatting>
  <conditionalFormatting sqref="G3:AK3">
    <cfRule type="cellIs" dxfId="136" priority="129" operator="equal">
      <formula>"NJY"</formula>
    </cfRule>
  </conditionalFormatting>
  <conditionalFormatting sqref="G3:AK3">
    <cfRule type="cellIs" dxfId="135" priority="130" operator="equal">
      <formula>"NJY"</formula>
    </cfRule>
  </conditionalFormatting>
  <conditionalFormatting sqref="G3:AK3">
    <cfRule type="cellIs" dxfId="134" priority="131" operator="equal">
      <formula>"p"</formula>
    </cfRule>
  </conditionalFormatting>
  <conditionalFormatting sqref="G3:AK3">
    <cfRule type="cellIs" dxfId="133" priority="132" operator="equal">
      <formula>"Resgin"</formula>
    </cfRule>
  </conditionalFormatting>
  <conditionalFormatting sqref="G3:AK3">
    <cfRule type="cellIs" dxfId="132" priority="133" operator="equal">
      <formula>"CO"</formula>
    </cfRule>
  </conditionalFormatting>
  <conditionalFormatting sqref="G3:AK3">
    <cfRule type="cellIs" dxfId="131" priority="134" operator="equal">
      <formula>"PL"</formula>
    </cfRule>
  </conditionalFormatting>
  <conditionalFormatting sqref="G3:AK3">
    <cfRule type="cellIs" dxfId="130" priority="135" operator="equal">
      <formula>"HO"</formula>
    </cfRule>
  </conditionalFormatting>
  <conditionalFormatting sqref="G3:AK3">
    <cfRule type="cellIs" dxfId="129" priority="136" operator="equal">
      <formula>"LWP"</formula>
    </cfRule>
  </conditionalFormatting>
  <conditionalFormatting sqref="G3:AK3">
    <cfRule type="cellIs" dxfId="128" priority="137" operator="equal">
      <formula>"ho"</formula>
    </cfRule>
  </conditionalFormatting>
  <conditionalFormatting sqref="G3:AK3">
    <cfRule type="cellIs" dxfId="127" priority="120" operator="equal">
      <formula>"abscond"</formula>
    </cfRule>
  </conditionalFormatting>
  <conditionalFormatting sqref="G3:AK3">
    <cfRule type="cellIs" dxfId="126" priority="121" operator="equal">
      <formula>"Resign"</formula>
    </cfRule>
  </conditionalFormatting>
  <conditionalFormatting sqref="G3:AK3">
    <cfRule type="cellIs" dxfId="125" priority="122" operator="equal">
      <formula>"Active"</formula>
    </cfRule>
  </conditionalFormatting>
  <conditionalFormatting sqref="G3:AK3">
    <cfRule type="cellIs" dxfId="124" priority="123" operator="equal">
      <formula>0</formula>
    </cfRule>
  </conditionalFormatting>
  <conditionalFormatting sqref="G3:AK3">
    <cfRule type="cellIs" dxfId="123" priority="124" operator="equal">
      <formula>"AB"</formula>
    </cfRule>
  </conditionalFormatting>
  <conditionalFormatting sqref="G3:AK3">
    <cfRule type="cellIs" dxfId="122" priority="125" operator="equal">
      <formula>"wo"</formula>
    </cfRule>
  </conditionalFormatting>
  <conditionalFormatting sqref="G3:AK3">
    <cfRule type="cellIs" dxfId="121" priority="126" operator="equal">
      <formula>"hd"</formula>
    </cfRule>
  </conditionalFormatting>
  <conditionalFormatting sqref="G3:AK3">
    <cfRule type="cellIs" dxfId="120" priority="127" operator="equal">
      <formula>"Inactive"</formula>
    </cfRule>
  </conditionalFormatting>
  <conditionalFormatting sqref="G3:AK3">
    <cfRule type="cellIs" dxfId="119" priority="128" operator="equal">
      <formula>"HO"</formula>
    </cfRule>
  </conditionalFormatting>
  <conditionalFormatting sqref="G3:AK3">
    <cfRule type="cellIs" dxfId="118" priority="118" operator="equal">
      <formula>"CO"</formula>
    </cfRule>
  </conditionalFormatting>
  <conditionalFormatting sqref="G3:AK3">
    <cfRule type="cellIs" dxfId="117" priority="119" operator="equal">
      <formula>"PL"</formula>
    </cfRule>
  </conditionalFormatting>
  <conditionalFormatting sqref="G3:O3">
    <cfRule type="cellIs" dxfId="116" priority="109" operator="equal">
      <formula>"NJY"</formula>
    </cfRule>
  </conditionalFormatting>
  <conditionalFormatting sqref="G3:O3">
    <cfRule type="cellIs" dxfId="115" priority="110" operator="equal">
      <formula>"NJY"</formula>
    </cfRule>
  </conditionalFormatting>
  <conditionalFormatting sqref="G3:O3">
    <cfRule type="cellIs" dxfId="114" priority="111" operator="equal">
      <formula>"p"</formula>
    </cfRule>
  </conditionalFormatting>
  <conditionalFormatting sqref="G3:O3">
    <cfRule type="cellIs" dxfId="113" priority="112" operator="equal">
      <formula>"Resgin"</formula>
    </cfRule>
  </conditionalFormatting>
  <conditionalFormatting sqref="G3:O3">
    <cfRule type="cellIs" dxfId="112" priority="113" operator="equal">
      <formula>"CO"</formula>
    </cfRule>
  </conditionalFormatting>
  <conditionalFormatting sqref="G3:O3">
    <cfRule type="cellIs" dxfId="111" priority="114" operator="equal">
      <formula>"PL"</formula>
    </cfRule>
  </conditionalFormatting>
  <conditionalFormatting sqref="G3:O3">
    <cfRule type="cellIs" dxfId="110" priority="115" operator="equal">
      <formula>"HO"</formula>
    </cfRule>
  </conditionalFormatting>
  <conditionalFormatting sqref="G3:O3">
    <cfRule type="cellIs" dxfId="109" priority="116" operator="equal">
      <formula>"LWP"</formula>
    </cfRule>
  </conditionalFormatting>
  <conditionalFormatting sqref="G3:O3">
    <cfRule type="cellIs" dxfId="108" priority="117" operator="equal">
      <formula>"ho"</formula>
    </cfRule>
  </conditionalFormatting>
  <conditionalFormatting sqref="G3:O3">
    <cfRule type="cellIs" dxfId="107" priority="100" operator="equal">
      <formula>"abscond"</formula>
    </cfRule>
  </conditionalFormatting>
  <conditionalFormatting sqref="G3:O3">
    <cfRule type="cellIs" dxfId="106" priority="101" operator="equal">
      <formula>"Resign"</formula>
    </cfRule>
  </conditionalFormatting>
  <conditionalFormatting sqref="G3:O3">
    <cfRule type="cellIs" dxfId="105" priority="102" operator="equal">
      <formula>"Active"</formula>
    </cfRule>
  </conditionalFormatting>
  <conditionalFormatting sqref="G3:O3">
    <cfRule type="cellIs" dxfId="104" priority="103" operator="equal">
      <formula>0</formula>
    </cfRule>
  </conditionalFormatting>
  <conditionalFormatting sqref="G3:O3">
    <cfRule type="cellIs" dxfId="103" priority="104" operator="equal">
      <formula>"AB"</formula>
    </cfRule>
  </conditionalFormatting>
  <conditionalFormatting sqref="G3:O3">
    <cfRule type="cellIs" dxfId="102" priority="105" operator="equal">
      <formula>"wo"</formula>
    </cfRule>
  </conditionalFormatting>
  <conditionalFormatting sqref="G3:O3">
    <cfRule type="cellIs" dxfId="101" priority="106" operator="equal">
      <formula>"hd"</formula>
    </cfRule>
  </conditionalFormatting>
  <conditionalFormatting sqref="G3:O3">
    <cfRule type="cellIs" dxfId="100" priority="107" operator="equal">
      <formula>"Inactive"</formula>
    </cfRule>
  </conditionalFormatting>
  <conditionalFormatting sqref="G3:O3">
    <cfRule type="cellIs" dxfId="99" priority="108" operator="equal">
      <formula>"HO"</formula>
    </cfRule>
  </conditionalFormatting>
  <conditionalFormatting sqref="G3:O3">
    <cfRule type="cellIs" dxfId="98" priority="98" operator="equal">
      <formula>"CO"</formula>
    </cfRule>
  </conditionalFormatting>
  <conditionalFormatting sqref="G3:O3">
    <cfRule type="cellIs" dxfId="97" priority="99" operator="equal">
      <formula>"PL"</formula>
    </cfRule>
  </conditionalFormatting>
  <conditionalFormatting sqref="BQ4:BV4 BX4 AL4:AV4">
    <cfRule type="containsText" dxfId="96" priority="95" stopIfTrue="1" operator="containsText" text="LWP">
      <formula>NOT(ISERROR(SEARCH("LWP",AL4)))</formula>
    </cfRule>
    <cfRule type="expression" dxfId="95" priority="96" stopIfTrue="1">
      <formula>RIGHT(AL4,2)="PL"</formula>
    </cfRule>
    <cfRule type="expression" dxfId="94" priority="97" stopIfTrue="1">
      <formula>LEFT(AL4,2)="AB"</formula>
    </cfRule>
  </conditionalFormatting>
  <conditionalFormatting sqref="BQ4:BV4 BX4 AL4:AV4">
    <cfRule type="containsText" dxfId="93" priority="93" stopIfTrue="1" operator="containsText" text="HO">
      <formula>NOT(ISERROR(SEARCH("HO",AL4)))</formula>
    </cfRule>
    <cfRule type="containsText" dxfId="92" priority="94" stopIfTrue="1" operator="containsText" text="HO">
      <formula>NOT(ISERROR(SEARCH("HO",AL4)))</formula>
    </cfRule>
  </conditionalFormatting>
  <conditionalFormatting sqref="BQ4:BV4 BX4 AL4:AV4">
    <cfRule type="containsText" dxfId="91" priority="91" stopIfTrue="1" operator="containsText" text="LWP">
      <formula>NOT(ISERROR(SEARCH("LWP",AL4)))</formula>
    </cfRule>
    <cfRule type="containsText" dxfId="90" priority="92" stopIfTrue="1" operator="containsText" text="LWP">
      <formula>NOT(ISERROR(SEARCH("LWP",AL4)))</formula>
    </cfRule>
  </conditionalFormatting>
  <conditionalFormatting sqref="BQ4:BV4 BX4 AL4:AV4">
    <cfRule type="cellIs" dxfId="89" priority="90" stopIfTrue="1" operator="equal">
      <formula>"AB"</formula>
    </cfRule>
  </conditionalFormatting>
  <conditionalFormatting sqref="BQ4:BV4 BX4 AL4:AV4">
    <cfRule type="containsText" dxfId="88" priority="89" stopIfTrue="1" operator="containsText" text="WO">
      <formula>NOT(ISERROR(SEARCH("WO",AL4)))</formula>
    </cfRule>
  </conditionalFormatting>
  <conditionalFormatting sqref="BQ4:BV4 BX4 AL4:AV4">
    <cfRule type="containsText" dxfId="87" priority="88" stopIfTrue="1" operator="containsText" text="co">
      <formula>NOT(ISERROR(SEARCH("co",AL4)))</formula>
    </cfRule>
  </conditionalFormatting>
  <conditionalFormatting sqref="F4">
    <cfRule type="cellIs" dxfId="86" priority="83" operator="equal">
      <formula>"AB"</formula>
    </cfRule>
    <cfRule type="cellIs" dxfId="85" priority="84" operator="equal">
      <formula>"wo"</formula>
    </cfRule>
    <cfRule type="cellIs" dxfId="84" priority="85" operator="equal">
      <formula>"NJY"</formula>
    </cfRule>
    <cfRule type="cellIs" dxfId="83" priority="86" operator="equal">
      <formula>"lwp"</formula>
    </cfRule>
    <cfRule type="cellIs" dxfId="82" priority="87" operator="equal">
      <formula>"p"</formula>
    </cfRule>
  </conditionalFormatting>
  <conditionalFormatting sqref="AV4">
    <cfRule type="containsText" dxfId="81" priority="80" stopIfTrue="1" operator="containsText" text="LWP">
      <formula>NOT(ISERROR(SEARCH("LWP",AV4)))</formula>
    </cfRule>
    <cfRule type="expression" dxfId="80" priority="81" stopIfTrue="1">
      <formula>RIGHT(AV4,2)="PL"</formula>
    </cfRule>
    <cfRule type="expression" dxfId="79" priority="82" stopIfTrue="1">
      <formula>LEFT(AV4,2)="AB"</formula>
    </cfRule>
  </conditionalFormatting>
  <conditionalFormatting sqref="AV4">
    <cfRule type="containsText" dxfId="78" priority="78" stopIfTrue="1" operator="containsText" text="HO">
      <formula>NOT(ISERROR(SEARCH("HO",AV4)))</formula>
    </cfRule>
    <cfRule type="containsText" dxfId="77" priority="79" stopIfTrue="1" operator="containsText" text="HO">
      <formula>NOT(ISERROR(SEARCH("HO",AV4)))</formula>
    </cfRule>
  </conditionalFormatting>
  <conditionalFormatting sqref="AV4">
    <cfRule type="containsText" dxfId="76" priority="76" stopIfTrue="1" operator="containsText" text="LWP">
      <formula>NOT(ISERROR(SEARCH("LWP",AV4)))</formula>
    </cfRule>
    <cfRule type="containsText" dxfId="75" priority="77" stopIfTrue="1" operator="containsText" text="LWP">
      <formula>NOT(ISERROR(SEARCH("LWP",AV4)))</formula>
    </cfRule>
  </conditionalFormatting>
  <conditionalFormatting sqref="AV4">
    <cfRule type="cellIs" dxfId="74" priority="75" stopIfTrue="1" operator="equal">
      <formula>"AB"</formula>
    </cfRule>
  </conditionalFormatting>
  <conditionalFormatting sqref="AV4">
    <cfRule type="containsText" dxfId="73" priority="74" stopIfTrue="1" operator="containsText" text="WO">
      <formula>NOT(ISERROR(SEARCH("WO",AV4)))</formula>
    </cfRule>
  </conditionalFormatting>
  <conditionalFormatting sqref="AV4">
    <cfRule type="containsText" dxfId="72" priority="73" stopIfTrue="1" operator="containsText" text="co">
      <formula>NOT(ISERROR(SEARCH("co",AV4)))</formula>
    </cfRule>
  </conditionalFormatting>
  <conditionalFormatting sqref="E4 G4:AK4">
    <cfRule type="cellIs" dxfId="71" priority="64" operator="equal">
      <formula>"NJY"</formula>
    </cfRule>
  </conditionalFormatting>
  <conditionalFormatting sqref="E4 G4:AK4">
    <cfRule type="cellIs" dxfId="70" priority="65" operator="equal">
      <formula>"NJY"</formula>
    </cfRule>
  </conditionalFormatting>
  <conditionalFormatting sqref="E4 G4:AK4">
    <cfRule type="cellIs" dxfId="69" priority="66" operator="equal">
      <formula>"p"</formula>
    </cfRule>
  </conditionalFormatting>
  <conditionalFormatting sqref="E4 G4:AK4">
    <cfRule type="cellIs" dxfId="68" priority="67" operator="equal">
      <formula>"Resgin"</formula>
    </cfRule>
  </conditionalFormatting>
  <conditionalFormatting sqref="E4 G4:AK4">
    <cfRule type="cellIs" dxfId="67" priority="68" operator="equal">
      <formula>"CO"</formula>
    </cfRule>
  </conditionalFormatting>
  <conditionalFormatting sqref="E4 G4:AK4">
    <cfRule type="cellIs" dxfId="66" priority="69" operator="equal">
      <formula>"PL"</formula>
    </cfRule>
  </conditionalFormatting>
  <conditionalFormatting sqref="E4 G4:AK4">
    <cfRule type="cellIs" dxfId="65" priority="70" operator="equal">
      <formula>"HO"</formula>
    </cfRule>
  </conditionalFormatting>
  <conditionalFormatting sqref="E4 G4:AK4">
    <cfRule type="cellIs" dxfId="64" priority="71" operator="equal">
      <formula>"LWP"</formula>
    </cfRule>
  </conditionalFormatting>
  <conditionalFormatting sqref="E4 G4:AK4">
    <cfRule type="cellIs" dxfId="63" priority="72" operator="equal">
      <formula>"ho"</formula>
    </cfRule>
  </conditionalFormatting>
  <conditionalFormatting sqref="G4:AK4">
    <cfRule type="cellIs" dxfId="62" priority="55" operator="equal">
      <formula>"abscond"</formula>
    </cfRule>
  </conditionalFormatting>
  <conditionalFormatting sqref="G4:AK4">
    <cfRule type="cellIs" dxfId="61" priority="56" operator="equal">
      <formula>"Resign"</formula>
    </cfRule>
  </conditionalFormatting>
  <conditionalFormatting sqref="G4:AK4">
    <cfRule type="cellIs" dxfId="60" priority="57" operator="equal">
      <formula>"Active"</formula>
    </cfRule>
  </conditionalFormatting>
  <conditionalFormatting sqref="G4:AK4">
    <cfRule type="cellIs" dxfId="59" priority="58" operator="equal">
      <formula>0</formula>
    </cfRule>
  </conditionalFormatting>
  <conditionalFormatting sqref="G4:AK4">
    <cfRule type="cellIs" dxfId="58" priority="59" operator="equal">
      <formula>"AB"</formula>
    </cfRule>
  </conditionalFormatting>
  <conditionalFormatting sqref="G4:AK4">
    <cfRule type="cellIs" dxfId="57" priority="60" operator="equal">
      <formula>"wo"</formula>
    </cfRule>
  </conditionalFormatting>
  <conditionalFormatting sqref="G4:AK4">
    <cfRule type="cellIs" dxfId="56" priority="61" operator="equal">
      <formula>"hd"</formula>
    </cfRule>
  </conditionalFormatting>
  <conditionalFormatting sqref="G4:AK4">
    <cfRule type="cellIs" dxfId="55" priority="62" operator="equal">
      <formula>"Inactive"</formula>
    </cfRule>
  </conditionalFormatting>
  <conditionalFormatting sqref="G4:AK4">
    <cfRule type="cellIs" dxfId="54" priority="63" operator="equal">
      <formula>"HO"</formula>
    </cfRule>
  </conditionalFormatting>
  <conditionalFormatting sqref="G4:AK4">
    <cfRule type="cellIs" dxfId="53" priority="53" operator="equal">
      <formula>"CO"</formula>
    </cfRule>
  </conditionalFormatting>
  <conditionalFormatting sqref="G4:AK4">
    <cfRule type="cellIs" dxfId="52" priority="54" operator="equal">
      <formula>"PL"</formula>
    </cfRule>
  </conditionalFormatting>
  <conditionalFormatting sqref="E4">
    <cfRule type="cellIs" dxfId="51" priority="41" operator="equal">
      <formula>"AB"</formula>
    </cfRule>
  </conditionalFormatting>
  <conditionalFormatting sqref="E4">
    <cfRule type="cellIs" dxfId="50" priority="42" operator="equal">
      <formula>"ho"</formula>
    </cfRule>
  </conditionalFormatting>
  <conditionalFormatting sqref="E4">
    <cfRule type="cellIs" dxfId="49" priority="43" operator="equal">
      <formula>"CL"</formula>
    </cfRule>
  </conditionalFormatting>
  <conditionalFormatting sqref="E4">
    <cfRule type="cellIs" dxfId="48" priority="44" operator="equal">
      <formula>"Inactive"</formula>
    </cfRule>
  </conditionalFormatting>
  <conditionalFormatting sqref="E4">
    <cfRule type="cellIs" dxfId="47" priority="45" operator="equal">
      <formula>"Active"</formula>
    </cfRule>
  </conditionalFormatting>
  <conditionalFormatting sqref="E4">
    <cfRule type="cellIs" dxfId="46" priority="46" operator="equal">
      <formula>"AB"</formula>
    </cfRule>
  </conditionalFormatting>
  <conditionalFormatting sqref="E4">
    <cfRule type="cellIs" dxfId="45" priority="47" operator="equal">
      <formula>"abscond"</formula>
    </cfRule>
  </conditionalFormatting>
  <conditionalFormatting sqref="E4">
    <cfRule type="cellIs" dxfId="44" priority="48" operator="equal">
      <formula>"Resign"</formula>
    </cfRule>
  </conditionalFormatting>
  <conditionalFormatting sqref="E4">
    <cfRule type="cellIs" dxfId="43" priority="49" operator="equal">
      <formula>"Inactive"</formula>
    </cfRule>
  </conditionalFormatting>
  <conditionalFormatting sqref="E4">
    <cfRule type="cellIs" dxfId="42" priority="50" operator="equal">
      <formula>0</formula>
    </cfRule>
  </conditionalFormatting>
  <conditionalFormatting sqref="E4">
    <cfRule type="cellIs" dxfId="41" priority="51" operator="equal">
      <formula>"wo"</formula>
    </cfRule>
  </conditionalFormatting>
  <conditionalFormatting sqref="E4">
    <cfRule type="cellIs" dxfId="40" priority="52" operator="equal">
      <formula>"hd"</formula>
    </cfRule>
  </conditionalFormatting>
  <conditionalFormatting sqref="AV4">
    <cfRule type="containsText" dxfId="39" priority="38" stopIfTrue="1" operator="containsText" text="LWP">
      <formula>NOT(ISERROR(SEARCH("LWP",AV4)))</formula>
    </cfRule>
    <cfRule type="expression" dxfId="38" priority="39" stopIfTrue="1">
      <formula>RIGHT(AV4,2)="PL"</formula>
    </cfRule>
    <cfRule type="expression" dxfId="37" priority="40" stopIfTrue="1">
      <formula>LEFT(AV4,2)="AB"</formula>
    </cfRule>
  </conditionalFormatting>
  <conditionalFormatting sqref="AV4">
    <cfRule type="containsText" dxfId="36" priority="36" stopIfTrue="1" operator="containsText" text="HO">
      <formula>NOT(ISERROR(SEARCH("HO",AV4)))</formula>
    </cfRule>
    <cfRule type="containsText" dxfId="35" priority="37" stopIfTrue="1" operator="containsText" text="HO">
      <formula>NOT(ISERROR(SEARCH("HO",AV4)))</formula>
    </cfRule>
  </conditionalFormatting>
  <conditionalFormatting sqref="AV4">
    <cfRule type="containsText" dxfId="34" priority="34" stopIfTrue="1" operator="containsText" text="LWP">
      <formula>NOT(ISERROR(SEARCH("LWP",AV4)))</formula>
    </cfRule>
    <cfRule type="containsText" dxfId="33" priority="35" stopIfTrue="1" operator="containsText" text="LWP">
      <formula>NOT(ISERROR(SEARCH("LWP",AV4)))</formula>
    </cfRule>
  </conditionalFormatting>
  <conditionalFormatting sqref="AV4">
    <cfRule type="cellIs" dxfId="32" priority="33" stopIfTrue="1" operator="equal">
      <formula>"AB"</formula>
    </cfRule>
  </conditionalFormatting>
  <conditionalFormatting sqref="AV4">
    <cfRule type="containsText" dxfId="31" priority="32" stopIfTrue="1" operator="containsText" text="WO">
      <formula>NOT(ISERROR(SEARCH("WO",AV4)))</formula>
    </cfRule>
  </conditionalFormatting>
  <conditionalFormatting sqref="AV4">
    <cfRule type="containsText" dxfId="30" priority="31" stopIfTrue="1" operator="containsText" text="co">
      <formula>NOT(ISERROR(SEARCH("co",AV4)))</formula>
    </cfRule>
  </conditionalFormatting>
  <conditionalFormatting sqref="AV4">
    <cfRule type="containsText" dxfId="29" priority="28" stopIfTrue="1" operator="containsText" text="LWP">
      <formula>NOT(ISERROR(SEARCH("LWP",AV4)))</formula>
    </cfRule>
    <cfRule type="expression" dxfId="28" priority="29" stopIfTrue="1">
      <formula>RIGHT(AV4,2)="PL"</formula>
    </cfRule>
    <cfRule type="expression" dxfId="27" priority="30" stopIfTrue="1">
      <formula>LEFT(AV4,2)="AB"</formula>
    </cfRule>
  </conditionalFormatting>
  <conditionalFormatting sqref="AV4">
    <cfRule type="containsText" dxfId="26" priority="26" stopIfTrue="1" operator="containsText" text="HO">
      <formula>NOT(ISERROR(SEARCH("HO",AV4)))</formula>
    </cfRule>
    <cfRule type="containsText" dxfId="25" priority="27" stopIfTrue="1" operator="containsText" text="HO">
      <formula>NOT(ISERROR(SEARCH("HO",AV4)))</formula>
    </cfRule>
  </conditionalFormatting>
  <conditionalFormatting sqref="AV4">
    <cfRule type="containsText" dxfId="24" priority="24" stopIfTrue="1" operator="containsText" text="LWP">
      <formula>NOT(ISERROR(SEARCH("LWP",AV4)))</formula>
    </cfRule>
    <cfRule type="containsText" dxfId="23" priority="25" stopIfTrue="1" operator="containsText" text="LWP">
      <formula>NOT(ISERROR(SEARCH("LWP",AV4)))</formula>
    </cfRule>
  </conditionalFormatting>
  <conditionalFormatting sqref="AV4">
    <cfRule type="cellIs" dxfId="22" priority="23" stopIfTrue="1" operator="equal">
      <formula>"AB"</formula>
    </cfRule>
  </conditionalFormatting>
  <conditionalFormatting sqref="AV4">
    <cfRule type="containsText" dxfId="21" priority="22" stopIfTrue="1" operator="containsText" text="WO">
      <formula>NOT(ISERROR(SEARCH("WO",AV4)))</formula>
    </cfRule>
  </conditionalFormatting>
  <conditionalFormatting sqref="AV4">
    <cfRule type="containsText" dxfId="20" priority="21" stopIfTrue="1" operator="containsText" text="co">
      <formula>NOT(ISERROR(SEARCH("co",AV4)))</formula>
    </cfRule>
  </conditionalFormatting>
  <conditionalFormatting sqref="G4:AK4">
    <cfRule type="cellIs" dxfId="19" priority="12" operator="equal">
      <formula>"NJY"</formula>
    </cfRule>
  </conditionalFormatting>
  <conditionalFormatting sqref="G4:AK4">
    <cfRule type="cellIs" dxfId="18" priority="13" operator="equal">
      <formula>"NJY"</formula>
    </cfRule>
  </conditionalFormatting>
  <conditionalFormatting sqref="G4:AK4">
    <cfRule type="cellIs" dxfId="17" priority="14" operator="equal">
      <formula>"p"</formula>
    </cfRule>
  </conditionalFormatting>
  <conditionalFormatting sqref="G4:AK4">
    <cfRule type="cellIs" dxfId="16" priority="15" operator="equal">
      <formula>"Resgin"</formula>
    </cfRule>
  </conditionalFormatting>
  <conditionalFormatting sqref="G4:AK4">
    <cfRule type="cellIs" dxfId="15" priority="16" operator="equal">
      <formula>"CO"</formula>
    </cfRule>
  </conditionalFormatting>
  <conditionalFormatting sqref="G4:AK4">
    <cfRule type="cellIs" dxfId="14" priority="17" operator="equal">
      <formula>"PL"</formula>
    </cfRule>
  </conditionalFormatting>
  <conditionalFormatting sqref="G4:AK4">
    <cfRule type="cellIs" dxfId="13" priority="18" operator="equal">
      <formula>"HO"</formula>
    </cfRule>
  </conditionalFormatting>
  <conditionalFormatting sqref="G4:AK4">
    <cfRule type="cellIs" dxfId="12" priority="19" operator="equal">
      <formula>"LWP"</formula>
    </cfRule>
  </conditionalFormatting>
  <conditionalFormatting sqref="G4:AK4">
    <cfRule type="cellIs" dxfId="11" priority="20" operator="equal">
      <formula>"ho"</formula>
    </cfRule>
  </conditionalFormatting>
  <conditionalFormatting sqref="G4:AK4">
    <cfRule type="cellIs" dxfId="10" priority="3" operator="equal">
      <formula>"abscond"</formula>
    </cfRule>
  </conditionalFormatting>
  <conditionalFormatting sqref="G4:AK4">
    <cfRule type="cellIs" dxfId="9" priority="4" operator="equal">
      <formula>"Resign"</formula>
    </cfRule>
  </conditionalFormatting>
  <conditionalFormatting sqref="G4:AK4">
    <cfRule type="cellIs" dxfId="8" priority="5" operator="equal">
      <formula>"Active"</formula>
    </cfRule>
  </conditionalFormatting>
  <conditionalFormatting sqref="G4:AK4">
    <cfRule type="cellIs" dxfId="7" priority="6" operator="equal">
      <formula>0</formula>
    </cfRule>
  </conditionalFormatting>
  <conditionalFormatting sqref="G4:AK4">
    <cfRule type="cellIs" dxfId="6" priority="7" operator="equal">
      <formula>"AB"</formula>
    </cfRule>
  </conditionalFormatting>
  <conditionalFormatting sqref="G4:AK4">
    <cfRule type="cellIs" dxfId="5" priority="8" operator="equal">
      <formula>"wo"</formula>
    </cfRule>
  </conditionalFormatting>
  <conditionalFormatting sqref="G4:AK4">
    <cfRule type="cellIs" dxfId="4" priority="9" operator="equal">
      <formula>"hd"</formula>
    </cfRule>
  </conditionalFormatting>
  <conditionalFormatting sqref="G4:AK4">
    <cfRule type="cellIs" dxfId="3" priority="10" operator="equal">
      <formula>"Inactive"</formula>
    </cfRule>
  </conditionalFormatting>
  <conditionalFormatting sqref="G4:AK4">
    <cfRule type="cellIs" dxfId="2" priority="11" operator="equal">
      <formula>"HO"</formula>
    </cfRule>
  </conditionalFormatting>
  <conditionalFormatting sqref="G4:AK4">
    <cfRule type="cellIs" dxfId="1" priority="1" operator="equal">
      <formula>"CO"</formula>
    </cfRule>
  </conditionalFormatting>
  <conditionalFormatting sqref="G4:AK4">
    <cfRule type="cellIs" dxfId="0" priority="2" operator="equal">
      <formula>"PL"</formula>
    </cfRule>
  </conditionalFormatting>
  <hyperlinks>
    <hyperlink ref="CL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11th Dec to 10th Jan</vt:lpstr>
      <vt:lpstr>Salary not to be processed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Volans</dc:creator>
  <cp:lastModifiedBy>Volans</cp:lastModifiedBy>
  <dcterms:created xsi:type="dcterms:W3CDTF">2023-12-19T11:09:06Z</dcterms:created>
  <dcterms:modified xsi:type="dcterms:W3CDTF">2025-02-19T11:13:08Z</dcterms:modified>
</cp:coreProperties>
</file>